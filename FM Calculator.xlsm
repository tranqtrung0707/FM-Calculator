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defaultThemeVersion="166925"/>
  <mc:AlternateContent xmlns:mc="http://schemas.openxmlformats.org/markup-compatibility/2006">
    <mc:Choice Requires="x15">
      <x15ac:absPath xmlns:x15ac="http://schemas.microsoft.com/office/spreadsheetml/2010/11/ac" url="D:\MEGA\Actuary\Excel\"/>
    </mc:Choice>
  </mc:AlternateContent>
  <xr:revisionPtr revIDLastSave="0" documentId="13_ncr:1_{8C058C1C-E20C-44FD-AD04-01812B0BF3AA}" xr6:coauthVersionLast="45" xr6:coauthVersionMax="47" xr10:uidLastSave="{00000000-0000-0000-0000-000000000000}"/>
  <bookViews>
    <workbookView xWindow="2535" yWindow="0" windowWidth="10245" windowHeight="10920" xr2:uid="{06AAA23B-2D72-438F-AACC-C63E9E1E0124}"/>
  </bookViews>
  <sheets>
    <sheet name="Annuities" sheetId="1" r:id="rId1"/>
    <sheet name="Amortization" sheetId="3" r:id="rId2"/>
    <sheet name="Duration &amp; Convexity" sheetId="4" r:id="rId3"/>
    <sheet name="Scratch Works (DO NOT DELETE)" sheetId="2" state="hidden" r:id="rId4"/>
  </sheets>
  <functionGroups builtInGroupCount="19"/>
  <definedNames>
    <definedName name="A_">Annuities!$K$3:$K$9</definedName>
    <definedName name="A_FV_val">Annuities!$K$9</definedName>
    <definedName name="A_I_val">Annuities!$K$5</definedName>
    <definedName name="A_Mode_val">Annuities!$K$3</definedName>
    <definedName name="A_N_val">Annuities!$K$4</definedName>
    <definedName name="A_P_val">Annuities!$K$7</definedName>
    <definedName name="A_PV_val">Annuities!$K$6</definedName>
    <definedName name="A_Q_val">Annuities!$K$8</definedName>
    <definedName name="FV_val">Annuities!$C$8</definedName>
    <definedName name="G_">Annuities!$G$3:$G$9</definedName>
    <definedName name="G_FV_val">Annuities!$G$9</definedName>
    <definedName name="G_G_val">Annuities!$G$6</definedName>
    <definedName name="G_I_Val">Annuities!$G$5</definedName>
    <definedName name="G_Mode_val">Annuities!$G$3</definedName>
    <definedName name="G_N_val">Annuities!$G$4</definedName>
    <definedName name="G_PMT1_val">Annuities!$G$8</definedName>
    <definedName name="G_PV_val">Annuities!$G$7</definedName>
    <definedName name="I_val">Annuities!$C$5</definedName>
    <definedName name="L_I_val">Amortization!$J$4</definedName>
    <definedName name="L_L_val">Amortization!$J$5</definedName>
    <definedName name="L_N_val">Amortization!$J$3</definedName>
    <definedName name="L_Pmt_val">Amortization!$J$6</definedName>
    <definedName name="Mode_val">Annuities!$C$3</definedName>
    <definedName name="N_val">Annuities!$C$4</definedName>
    <definedName name="NPmt">Amortization!$J$3</definedName>
    <definedName name="PMT_val">Annuities!$C$7</definedName>
    <definedName name="PV_val">Annuities!$C$6</definedName>
    <definedName name="RemainingBal">Amortization!$J$8</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J8" i="3" l="1"/>
  <c r="G52" i="3"/>
  <c r="F52" i="3"/>
  <c r="E52" i="3"/>
  <c r="D52" i="3"/>
  <c r="C52" i="3"/>
  <c r="G51" i="3"/>
  <c r="F51" i="3"/>
  <c r="E51" i="3"/>
  <c r="D51" i="3"/>
  <c r="C51" i="3"/>
  <c r="G50" i="3"/>
  <c r="F50" i="3"/>
  <c r="E50" i="3"/>
  <c r="D50" i="3"/>
  <c r="C50" i="3"/>
  <c r="G49" i="3"/>
  <c r="F49" i="3"/>
  <c r="E49" i="3"/>
  <c r="D49" i="3"/>
  <c r="C49" i="3"/>
  <c r="G48" i="3"/>
  <c r="F48" i="3"/>
  <c r="E48" i="3"/>
  <c r="D48" i="3"/>
  <c r="C48" i="3"/>
  <c r="G47" i="3"/>
  <c r="F47" i="3"/>
  <c r="E47" i="3"/>
  <c r="D47" i="3"/>
  <c r="C47" i="3"/>
  <c r="G46" i="3"/>
  <c r="F46" i="3"/>
  <c r="E46" i="3"/>
  <c r="D46" i="3"/>
  <c r="C46" i="3"/>
  <c r="G45" i="3"/>
  <c r="F45" i="3"/>
  <c r="E45" i="3"/>
  <c r="D45" i="3"/>
  <c r="C45" i="3"/>
  <c r="G44" i="3"/>
  <c r="F44" i="3"/>
  <c r="E44" i="3"/>
  <c r="D44" i="3"/>
  <c r="C44" i="3"/>
  <c r="G43" i="3"/>
  <c r="F43" i="3"/>
  <c r="E43" i="3"/>
  <c r="D43" i="3"/>
  <c r="C43" i="3"/>
  <c r="G42" i="3"/>
  <c r="F42" i="3"/>
  <c r="E42" i="3"/>
  <c r="D42" i="3"/>
  <c r="C42" i="3"/>
  <c r="G41" i="3"/>
  <c r="F41" i="3"/>
  <c r="E41" i="3"/>
  <c r="D41" i="3"/>
  <c r="C41" i="3"/>
  <c r="G40" i="3"/>
  <c r="F40" i="3"/>
  <c r="E40" i="3"/>
  <c r="D40" i="3"/>
  <c r="C40" i="3"/>
  <c r="G39" i="3"/>
  <c r="F39" i="3"/>
  <c r="E39" i="3"/>
  <c r="D39" i="3"/>
  <c r="C39" i="3"/>
  <c r="G38" i="3"/>
  <c r="F38" i="3"/>
  <c r="E38" i="3"/>
  <c r="D38" i="3"/>
  <c r="C38" i="3"/>
  <c r="G37" i="3"/>
  <c r="F37" i="3"/>
  <c r="E37" i="3"/>
  <c r="D37" i="3"/>
  <c r="C37" i="3"/>
  <c r="G36" i="3"/>
  <c r="F36" i="3"/>
  <c r="E36" i="3"/>
  <c r="D36" i="3"/>
  <c r="C36" i="3"/>
  <c r="G35" i="3"/>
  <c r="F35" i="3"/>
  <c r="E35" i="3"/>
  <c r="D35" i="3"/>
  <c r="C35" i="3"/>
  <c r="G34" i="3"/>
  <c r="F34" i="3"/>
  <c r="E34" i="3"/>
  <c r="D34" i="3"/>
  <c r="C34" i="3"/>
  <c r="G33" i="3"/>
  <c r="F33" i="3"/>
  <c r="E33" i="3"/>
  <c r="D33" i="3"/>
  <c r="C33" i="3"/>
  <c r="G32" i="3"/>
  <c r="F32" i="3"/>
  <c r="E32" i="3"/>
  <c r="D32" i="3"/>
  <c r="C32" i="3"/>
  <c r="G31" i="3"/>
  <c r="F31" i="3"/>
  <c r="E31" i="3"/>
  <c r="D31" i="3"/>
  <c r="C31" i="3"/>
  <c r="G30" i="3"/>
  <c r="F30" i="3"/>
  <c r="E30" i="3"/>
  <c r="D30" i="3"/>
  <c r="C30" i="3"/>
  <c r="G29" i="3"/>
  <c r="F29" i="3"/>
  <c r="E29" i="3"/>
  <c r="D29" i="3"/>
  <c r="C29" i="3"/>
  <c r="G28" i="3"/>
  <c r="F28" i="3"/>
  <c r="E28" i="3"/>
  <c r="D28" i="3"/>
  <c r="C28" i="3"/>
  <c r="G27" i="3"/>
  <c r="F27" i="3"/>
  <c r="E27" i="3"/>
  <c r="D27" i="3"/>
  <c r="C27" i="3"/>
  <c r="G26" i="3"/>
  <c r="F26" i="3"/>
  <c r="E26" i="3"/>
  <c r="D26" i="3"/>
  <c r="C26" i="3"/>
  <c r="G25" i="3"/>
  <c r="F25" i="3"/>
  <c r="E25" i="3"/>
  <c r="D25" i="3"/>
  <c r="C25" i="3"/>
  <c r="G24" i="3"/>
  <c r="F24" i="3"/>
  <c r="E24" i="3"/>
  <c r="D24" i="3"/>
  <c r="C24" i="3"/>
  <c r="G23" i="3"/>
  <c r="F23" i="3"/>
  <c r="E23" i="3"/>
  <c r="D23" i="3"/>
  <c r="C23" i="3"/>
  <c r="G22" i="3"/>
  <c r="F22" i="3"/>
  <c r="E22" i="3"/>
  <c r="D22" i="3"/>
  <c r="C22" i="3"/>
  <c r="G21" i="3"/>
  <c r="F21" i="3"/>
  <c r="E21" i="3"/>
  <c r="D21" i="3"/>
  <c r="C21" i="3"/>
  <c r="G20" i="3"/>
  <c r="F20" i="3"/>
  <c r="E20" i="3"/>
  <c r="D20" i="3"/>
  <c r="C20" i="3"/>
  <c r="G19" i="3"/>
  <c r="F19" i="3"/>
  <c r="E19" i="3"/>
  <c r="D19" i="3"/>
  <c r="C19" i="3"/>
  <c r="G18" i="3"/>
  <c r="F18" i="3"/>
  <c r="E18" i="3"/>
  <c r="D18" i="3"/>
  <c r="C18" i="3"/>
  <c r="G17" i="3"/>
  <c r="F17" i="3"/>
  <c r="E17" i="3"/>
  <c r="D17" i="3"/>
  <c r="C17" i="3"/>
  <c r="G16" i="3"/>
  <c r="F16" i="3"/>
  <c r="E16" i="3"/>
  <c r="D16" i="3"/>
  <c r="C16" i="3"/>
  <c r="G15" i="3"/>
  <c r="F15" i="3"/>
  <c r="E15" i="3"/>
  <c r="D15" i="3"/>
  <c r="C15" i="3"/>
  <c r="G14" i="3"/>
  <c r="F14" i="3"/>
  <c r="E14" i="3"/>
  <c r="D14" i="3"/>
  <c r="C14" i="3"/>
  <c r="G13" i="3"/>
  <c r="F13" i="3"/>
  <c r="E13" i="3"/>
  <c r="D13" i="3"/>
  <c r="C13" i="3"/>
  <c r="G12" i="3"/>
  <c r="F12" i="3"/>
  <c r="E12" i="3"/>
  <c r="D12" i="3"/>
  <c r="C12" i="3"/>
  <c r="G11" i="3"/>
  <c r="F11" i="3"/>
  <c r="E11" i="3"/>
  <c r="D11" i="3"/>
  <c r="C11" i="3"/>
  <c r="G10" i="3"/>
  <c r="F10" i="3"/>
  <c r="E10" i="3"/>
  <c r="D10" i="3"/>
  <c r="C10" i="3"/>
  <c r="G9" i="3"/>
  <c r="F9" i="3"/>
  <c r="E9" i="3"/>
  <c r="D9" i="3"/>
  <c r="C9" i="3"/>
  <c r="G8" i="3"/>
  <c r="F8" i="3"/>
  <c r="E8" i="3"/>
  <c r="D8" i="3"/>
  <c r="C8" i="3"/>
  <c r="G7" i="3"/>
  <c r="F7" i="3"/>
  <c r="E7" i="3"/>
  <c r="D7" i="3"/>
  <c r="C7" i="3"/>
  <c r="G6" i="3"/>
  <c r="F6" i="3"/>
  <c r="E6" i="3"/>
  <c r="D6" i="3"/>
  <c r="C6" i="3"/>
  <c r="G5" i="3"/>
  <c r="F5" i="3"/>
  <c r="E5" i="3"/>
  <c r="D5" i="3"/>
  <c r="C5" i="3"/>
  <c r="G4" i="3"/>
  <c r="F4" i="3"/>
  <c r="E4" i="3"/>
  <c r="D4" i="3"/>
  <c r="C4" i="3"/>
  <c r="G3" i="3"/>
  <c r="F3" i="3"/>
  <c r="E3" i="3"/>
  <c r="D3" i="3"/>
  <c r="C3" i="3"/>
  <c r="K5" i="2"/>
  <c r="G6" i="2"/>
  <c r="F6" i="4" a="1"/>
  <c r="F5" i="4" a="1"/>
  <c r="F4" i="4" a="1"/>
  <c r="F7" i="4" a="1"/>
  <c r="F5" i="4" l="1"/>
  <c r="F6" i="4"/>
  <c r="F7" i="4"/>
  <c r="F4" i="4"/>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<sst xmlns="http://schemas.openxmlformats.org/spreadsheetml/2006/main" count="67" uniqueCount="49">
  <si>
    <t>N</t>
  </si>
  <si>
    <t>PV</t>
  </si>
  <si>
    <t>PMT</t>
  </si>
  <si>
    <t>FV</t>
  </si>
  <si>
    <t>PMT1</t>
  </si>
  <si>
    <t>G</t>
  </si>
  <si>
    <t>END</t>
  </si>
  <si>
    <t>Mode</t>
  </si>
  <si>
    <t>I</t>
  </si>
  <si>
    <t>%</t>
  </si>
  <si>
    <t>Geometric annuity</t>
  </si>
  <si>
    <t>Arithmetic annuity</t>
  </si>
  <si>
    <t>P</t>
  </si>
  <si>
    <t>Q</t>
  </si>
  <si>
    <t>BGN</t>
  </si>
  <si>
    <t>Beginning Balance</t>
  </si>
  <si>
    <t>Payment</t>
  </si>
  <si>
    <t>Interest</t>
  </si>
  <si>
    <t>Principal</t>
  </si>
  <si>
    <t>Ending Balance</t>
  </si>
  <si>
    <t>USER INPUT</t>
  </si>
  <si>
    <t>Number of payments</t>
  </si>
  <si>
    <t>Interest per period</t>
  </si>
  <si>
    <t>Loan amount</t>
  </si>
  <si>
    <t>Periodic payment</t>
  </si>
  <si>
    <t>Calculate annuity variables for ordinary annuities (equal payment each period),
geometric annuities (payment increases by a fixed percentage each period),
and arithmetic annuities (payment increases by a fixed amount each period)</t>
  </si>
  <si>
    <t>* Mode: BGN indicates payment made at the beginning of each period,
END indicates payment made at the end of each period.</t>
  </si>
  <si>
    <t>* PMT: Fixed payment per period</t>
  </si>
  <si>
    <t>* FV: Future value</t>
  </si>
  <si>
    <t>* PV: Present value</t>
  </si>
  <si>
    <t>* PMT1: First payment of a geometric annuity</t>
  </si>
  <si>
    <t>* P: First payment of an arithmetic annuity</t>
  </si>
  <si>
    <t>* Q: The amount each subsequent payment is increased by</t>
  </si>
  <si>
    <t>Instructions: Select the mode, enter values for all but one input, then click CPT to calculate
the blank cell's value. Calculations will not be made if there are 0 or multiple blank cells.</t>
  </si>
  <si>
    <t>Remaining balance</t>
  </si>
  <si>
    <t>Payment #</t>
  </si>
  <si>
    <t>* I: Interest rate per payment period (in percentage, i.e. value of 10 is understood as 10%)</t>
  </si>
  <si>
    <t>Cash flow value</t>
  </si>
  <si>
    <t>Frequency</t>
  </si>
  <si>
    <t>Macaulay Duration</t>
  </si>
  <si>
    <t>Modified Duration</t>
  </si>
  <si>
    <t>Macaulay Convexity</t>
  </si>
  <si>
    <t>Modified Convexity</t>
  </si>
  <si>
    <t>Interest Rate</t>
  </si>
  <si>
    <t>The computation results in a net present value of 0, so the cash flows cannot all have the same sign.</t>
  </si>
  <si>
    <t>* N: Number of payment periods. "inf" (without quotes) denotes perpetuity. In perpetuity mode, FV is set to 0 regardless of user input.</t>
  </si>
  <si>
    <t>* G: Growth rate of the payments (in percentage form, e.g. input of 5 is understood as 5%)</t>
  </si>
  <si>
    <t>Calculate duration and convexity for a series of cash flows given by the boxed table.
Each cash flow value has a corresponding frequency, which is the number of periods that cash flow value is received.
The first cash flow is received at time 0.
Interest rate is in percentage, e.g. input of 10 is understood as 10%
The maximum number of cash flow values is 50, i.e. it must be inputed inside the box.</t>
  </si>
  <si>
    <t>Constant annuity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</si>
</sst>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000"/>
    <numFmt numFmtId="165" formatCode="[$$-409]#,##0.00"/>
    <numFmt numFmtId="166" formatCode="[$$-409]#,##0.0000"/>
  </numFmts>
  <fonts count="4" x14ac:knownFonts="1">
    <font>
      <sz val="11"/>
      <color theme="1"/>
      <name val="Calibri"/>
      <family val="2"/>
      <charset val="163"/>
      <scheme val="minor"/>
    </font>
    <font>
      <b/>
      <sz val="11"/>
      <color theme="1"/>
      <name val="Calibri"/>
      <family val="2"/>
      <scheme val="minor"/>
    </font>
    <font>
      <b/>
      <sz val="11"/>
      <color theme="1"/>
      <name val="Calibri"/>
      <family val="2"/>
      <charset val="163"/>
      <scheme val="minor"/>
    </font>
    <font>
      <sz val="11"/>
      <color rgb="FF000000"/>
      <name val="Calibri"/>
      <family val="2"/>
      <charset val="163"/>
    </font>
  </fonts>
  <fills count="6">
    <fill>
      <patternFill patternType="none"/>
    </fill>
    <fill>
      <patternFill patternType="gray125"/>
    </fill>
    <fill>
      <patternFill patternType="solid">
        <fgColor rgb="FF00B0F0"/>
        <bgColor indexed="64"/>
      </patternFill>
    </fill>
    <fill>
      <patternFill patternType="solid">
        <fgColor rgb="FF00FF00"/>
        <bgColor indexed="64"/>
      </patternFill>
    </fill>
    <fill>
      <patternFill patternType="solid">
        <fgColor theme="5"/>
        <bgColor indexed="64"/>
      </patternFill>
    </fill>
    <fill>
      <patternFill patternType="solid">
        <fgColor rgb="FF92D050"/>
        <bgColor indexed="64"/>
      </patternFill>
    </fill>
  </fills>
  <borders count="12">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s>
  <cellStyleXfs count="1">
    <xf numFmtId="0" fontId="0" fillId="0" borderId="0"/>
  </cellStyleXfs>
  <cellXfs count="51">
    <xf numFmtId="0" fontId="0" fillId="0" borderId="0" xfId="0"/>
    <xf numFmtId="0" fontId="1" fillId="0" borderId="2" xfId="0" applyFont="1" applyBorder="1"/>
    <xf numFmtId="0" fontId="0" fillId="2" borderId="1" xfId="0" applyFill="1" applyBorder="1"/>
    <xf numFmtId="0" fontId="0" fillId="2" borderId="3" xfId="0" applyFill="1" applyBorder="1"/>
    <xf numFmtId="0" fontId="0" fillId="2" borderId="5" xfId="0" applyFill="1" applyBorder="1"/>
    <xf numFmtId="165" fontId="1" fillId="0" borderId="4" xfId="0" applyNumberFormat="1" applyFont="1" applyBorder="1"/>
    <xf numFmtId="165" fontId="1" fillId="0" borderId="6" xfId="0" applyNumberFormat="1" applyFont="1" applyBorder="1"/>
    <xf numFmtId="164" fontId="1" fillId="3" borderId="4" xfId="0" applyNumberFormat="1" applyFont="1" applyFill="1" applyBorder="1"/>
    <xf numFmtId="164" fontId="1" fillId="0" borderId="4" xfId="0" applyNumberFormat="1" applyFont="1" applyBorder="1"/>
    <xf numFmtId="166" fontId="0" fillId="0" borderId="0" xfId="0" applyNumberFormat="1"/>
    <xf numFmtId="0" fontId="0" fillId="0" borderId="0" xfId="0" applyAlignment="1">
      <alignment horizontal="centerContinuous"/>
    </xf>
    <xf numFmtId="0" fontId="2" fillId="0" borderId="0" xfId="0" applyFont="1" applyAlignment="1">
      <alignment horizontal="centerContinuous"/>
    </xf>
    <xf numFmtId="2" fontId="1" fillId="3" borderId="4" xfId="0" applyNumberFormat="1" applyFont="1" applyFill="1" applyBorder="1"/>
    <xf numFmtId="0" fontId="1" fillId="0" borderId="0" xfId="0" applyFont="1" applyAlignment="1">
      <alignment horizontal="center" wrapText="1"/>
    </xf>
    <xf numFmtId="0" fontId="0" fillId="0" borderId="3" xfId="0" applyBorder="1"/>
    <xf numFmtId="165" fontId="0" fillId="0" borderId="4" xfId="0" applyNumberFormat="1" applyBorder="1"/>
    <xf numFmtId="0" fontId="0" fillId="0" borderId="4" xfId="0" applyBorder="1"/>
    <xf numFmtId="0" fontId="0" fillId="0" borderId="5" xfId="0" applyBorder="1"/>
    <xf numFmtId="165" fontId="0" fillId="0" borderId="6" xfId="0" applyNumberFormat="1" applyBorder="1"/>
    <xf numFmtId="165" fontId="0" fillId="0" borderId="7" xfId="0" applyNumberFormat="1" applyBorder="1"/>
    <xf numFmtId="0" fontId="0" fillId="0" borderId="0" xfId="0" applyAlignment="1">
      <alignment wrapText="1"/>
    </xf>
    <xf numFmtId="0" fontId="1" fillId="2" borderId="3" xfId="0" applyFont="1" applyFill="1" applyBorder="1"/>
    <xf numFmtId="0" fontId="1" fillId="2" borderId="11" xfId="0" applyFont="1" applyFill="1" applyBorder="1"/>
    <xf numFmtId="0" fontId="1" fillId="2" borderId="2" xfId="0" applyFont="1" applyFill="1" applyBorder="1"/>
    <xf numFmtId="0" fontId="1" fillId="2" borderId="5" xfId="0" applyFont="1" applyFill="1" applyBorder="1"/>
    <xf numFmtId="0" fontId="1" fillId="2" borderId="1" xfId="0" applyFont="1" applyFill="1" applyBorder="1"/>
    <xf numFmtId="0" fontId="0" fillId="0" borderId="6" xfId="0" applyBorder="1"/>
    <xf numFmtId="0" fontId="2" fillId="2" borderId="1" xfId="0" applyFont="1" applyFill="1" applyBorder="1"/>
    <xf numFmtId="0" fontId="2" fillId="2" borderId="2" xfId="0" applyFont="1" applyFill="1" applyBorder="1"/>
    <xf numFmtId="165" fontId="0" fillId="0" borderId="3" xfId="0" applyNumberFormat="1" applyBorder="1"/>
    <xf numFmtId="165" fontId="0" fillId="0" borderId="5" xfId="0" applyNumberFormat="1" applyBorder="1"/>
    <xf numFmtId="0" fontId="0" fillId="0" borderId="10" xfId="0" applyBorder="1"/>
    <xf numFmtId="0" fontId="2" fillId="2" borderId="8" xfId="0" applyFont="1" applyFill="1" applyBorder="1"/>
    <xf numFmtId="0" fontId="2" fillId="2" borderId="3" xfId="0" applyFont="1" applyFill="1" applyBorder="1"/>
    <xf numFmtId="0" fontId="2" fillId="2" borderId="5" xfId="0" applyFont="1" applyFill="1" applyBorder="1"/>
    <xf numFmtId="4" fontId="0" fillId="5" borderId="2" xfId="0" applyNumberFormat="1" applyFill="1" applyBorder="1"/>
    <xf numFmtId="4" fontId="0" fillId="5" borderId="4" xfId="0" applyNumberFormat="1" applyFill="1" applyBorder="1"/>
    <xf numFmtId="4" fontId="0" fillId="5" borderId="6" xfId="0" applyNumberFormat="1" applyFill="1" applyBorder="1"/>
    <xf numFmtId="2" fontId="1" fillId="0" borderId="4" xfId="0" applyNumberFormat="1" applyFont="1" applyBorder="1"/>
    <xf numFmtId="0" fontId="1" fillId="2" borderId="8" xfId="0" applyFont="1" applyFill="1" applyBorder="1"/>
    <xf numFmtId="165" fontId="2" fillId="5" borderId="10" xfId="0" applyNumberFormat="1" applyFont="1" applyFill="1" applyBorder="1"/>
    <xf numFmtId="0" fontId="0" fillId="0" borderId="0" xfId="0" applyBorder="1"/>
    <xf numFmtId="165" fontId="0" fillId="0" borderId="0" xfId="0" applyNumberFormat="1" applyBorder="1"/>
    <xf numFmtId="164" fontId="1" fillId="0" borderId="4" xfId="0" applyNumberFormat="1" applyFont="1" applyFill="1" applyBorder="1"/>
    <xf numFmtId="2" fontId="1" fillId="0" borderId="4" xfId="0" applyNumberFormat="1" applyFont="1" applyFill="1" applyBorder="1"/>
    <xf numFmtId="0" fontId="1" fillId="0" borderId="8" xfId="0" applyFont="1" applyBorder="1" applyAlignment="1">
      <alignment wrapText="1"/>
    </xf>
    <xf numFmtId="0" fontId="1" fillId="0" borderId="9" xfId="0" applyFont="1" applyBorder="1" applyAlignment="1">
      <alignment wrapText="1"/>
    </xf>
    <xf numFmtId="0" fontId="1" fillId="0" borderId="10" xfId="0" applyFont="1" applyBorder="1" applyAlignment="1">
      <alignment wrapText="1"/>
    </xf>
    <xf numFmtId="0" fontId="0" fillId="0" borderId="0" xfId="0" applyAlignment="1">
      <alignment wrapText="1"/>
    </xf>
    <xf numFmtId="0" fontId="1" fillId="4" borderId="1" xfId="0" applyFont="1" applyFill="1" applyBorder="1" applyAlignment="1">
      <alignment horizontal="center"/>
    </xf>
    <xf numFmtId="0" fontId="1" fillId="4" borderId="2" xfId="0" applyFont="1" applyFill="1" applyBorder="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609600</xdr:colOff>
          <xdr:row>10</xdr:row>
          <xdr:rowOff>19050</xdr:rowOff>
        </xdr:from>
        <xdr:to>
          <xdr:col>3</xdr:col>
          <xdr:colOff>0</xdr:colOff>
          <xdr:row>11</xdr:row>
          <xdr:rowOff>180975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CPT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10</xdr:row>
          <xdr:rowOff>19050</xdr:rowOff>
        </xdr:from>
        <xdr:to>
          <xdr:col>7</xdr:col>
          <xdr:colOff>0</xdr:colOff>
          <xdr:row>11</xdr:row>
          <xdr:rowOff>171450</xdr:rowOff>
        </xdr:to>
        <xdr:sp macro="" textlink="">
          <xdr:nvSpPr>
            <xdr:cNvPr id="1042" name="Button 18"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CPT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9525</xdr:colOff>
          <xdr:row>10</xdr:row>
          <xdr:rowOff>19050</xdr:rowOff>
        </xdr:from>
        <xdr:to>
          <xdr:col>11</xdr:col>
          <xdr:colOff>0</xdr:colOff>
          <xdr:row>11</xdr:row>
          <xdr:rowOff>171450</xdr:rowOff>
        </xdr:to>
        <xdr:sp macro="" textlink="">
          <xdr:nvSpPr>
            <xdr:cNvPr id="1055" name="Button 31" hidden="1">
              <a:extLst>
                <a:ext uri="{63B3BB69-23CF-44E3-9099-C40C66FF867C}">
                  <a14:compatExt spid="_x0000_s1055"/>
                </a:ext>
                <a:ext uri="{FF2B5EF4-FFF2-40B4-BE49-F238E27FC236}">
                  <a16:creationId xmlns:a16="http://schemas.microsoft.com/office/drawing/2014/main" id="{00000000-0008-0000-0000-00001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CPT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9</xdr:row>
          <xdr:rowOff>28575</xdr:rowOff>
        </xdr:from>
        <xdr:to>
          <xdr:col>9</xdr:col>
          <xdr:colOff>0</xdr:colOff>
          <xdr:row>12</xdr:row>
          <xdr:rowOff>47625</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Create</a:t>
              </a:r>
            </a:p>
            <a:p>
              <a:pPr algn="ctr" rtl="0">
                <a:defRPr sz="1000"/>
              </a:pPr>
              <a:r>
                <a:rPr lang="en-US" sz="1100" b="0" i="0" u="none" strike="noStrike" baseline="0">
                  <a:solidFill>
                    <a:srgbClr val="000000"/>
                  </a:solidFill>
                  <a:latin typeface="Calibri"/>
                </a:rPr>
                <a:t>Amortization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14</xdr:row>
          <xdr:rowOff>9525</xdr:rowOff>
        </xdr:from>
        <xdr:to>
          <xdr:col>9</xdr:col>
          <xdr:colOff>9525</xdr:colOff>
          <xdr:row>17</xdr:row>
          <xdr:rowOff>9525</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1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Clear</a:t>
              </a:r>
            </a:p>
            <a:p>
              <a:pPr algn="ctr" rtl="0">
                <a:defRPr sz="1000"/>
              </a:pPr>
              <a:r>
                <a:rPr lang="en-US" sz="1100" b="0" i="0" u="none" strike="noStrike" baseline="0">
                  <a:solidFill>
                    <a:srgbClr val="000000"/>
                  </a:solidFill>
                  <a:latin typeface="Calibri"/>
                </a:rPr>
                <a:t>Amortization Table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3C2D9C-A09E-426E-A5CC-626F81B76D17}">
  <sheetPr codeName="Sheet1"/>
  <dimension ref="A2:L28"/>
  <sheetViews>
    <sheetView tabSelected="1" workbookViewId="0">
      <selection activeCell="E14" sqref="E14"/>
    </sheetView>
  </sheetViews>
  <sheetFormatPr defaultRowHeight="15" x14ac:dyDescent="0.25"/>
  <cols>
    <col min="2" max="2" width="5.7109375" bestFit="1" customWidth="1"/>
    <col min="3" max="3" width="12.7109375" bestFit="1" customWidth="1"/>
    <col min="4" max="4" width="2.42578125" bestFit="1" customWidth="1"/>
    <col min="6" max="6" width="5.7109375" bestFit="1" customWidth="1"/>
    <col min="7" max="7" width="12.7109375" customWidth="1"/>
    <col min="8" max="8" width="2.42578125" bestFit="1" customWidth="1"/>
    <col min="10" max="10" width="5.7109375" bestFit="1" customWidth="1"/>
    <col min="11" max="11" width="12.42578125" customWidth="1"/>
    <col min="12" max="12" width="2.42578125" bestFit="1" customWidth="1"/>
  </cols>
  <sheetData>
    <row r="2" spans="2:12" x14ac:dyDescent="0.25">
      <c r="B2" s="11" t="s">
        <v>48</v>
      </c>
      <c r="C2" s="10"/>
      <c r="F2" s="11" t="s">
        <v>10</v>
      </c>
      <c r="G2" s="10"/>
      <c r="J2" s="11" t="s">
        <v>11</v>
      </c>
      <c r="K2" s="10"/>
    </row>
    <row r="3" spans="2:12" x14ac:dyDescent="0.25">
      <c r="B3" s="2" t="s">
        <v>7</v>
      </c>
      <c r="C3" s="1" t="s">
        <v>6</v>
      </c>
      <c r="F3" s="2" t="s">
        <v>7</v>
      </c>
      <c r="G3" s="1" t="s">
        <v>6</v>
      </c>
      <c r="J3" s="2" t="s">
        <v>7</v>
      </c>
      <c r="K3" s="1" t="s">
        <v>14</v>
      </c>
    </row>
    <row r="4" spans="2:12" x14ac:dyDescent="0.25">
      <c r="B4" s="3" t="s">
        <v>0</v>
      </c>
      <c r="C4" s="12">
        <v>34.40540311140682</v>
      </c>
      <c r="F4" s="3" t="s">
        <v>0</v>
      </c>
      <c r="G4" s="12">
        <v>19.999984022876902</v>
      </c>
      <c r="J4" s="3" t="s">
        <v>0</v>
      </c>
      <c r="K4" s="44">
        <v>20.000000095966694</v>
      </c>
    </row>
    <row r="5" spans="2:12" x14ac:dyDescent="0.25">
      <c r="B5" s="3" t="s">
        <v>8</v>
      </c>
      <c r="C5" s="43">
        <v>1.000000000000056</v>
      </c>
      <c r="D5" t="s">
        <v>9</v>
      </c>
      <c r="F5" s="3" t="s">
        <v>8</v>
      </c>
      <c r="G5" s="43">
        <v>9.9999961456836157</v>
      </c>
      <c r="H5" t="s">
        <v>9</v>
      </c>
      <c r="J5" s="3" t="s">
        <v>8</v>
      </c>
      <c r="K5" s="7">
        <v>1.0000003730179434</v>
      </c>
      <c r="L5" t="s">
        <v>9</v>
      </c>
    </row>
    <row r="6" spans="2:12" x14ac:dyDescent="0.25">
      <c r="B6" s="3" t="s">
        <v>1</v>
      </c>
      <c r="C6" s="5">
        <v>3000000</v>
      </c>
      <c r="F6" s="3" t="s">
        <v>5</v>
      </c>
      <c r="G6" s="8">
        <v>6</v>
      </c>
      <c r="H6" t="s">
        <v>9</v>
      </c>
      <c r="J6" s="3" t="s">
        <v>1</v>
      </c>
      <c r="K6" s="5">
        <v>-1935.4246824667341</v>
      </c>
    </row>
    <row r="7" spans="2:12" x14ac:dyDescent="0.25">
      <c r="B7" s="3" t="s">
        <v>2</v>
      </c>
      <c r="C7" s="5">
        <v>-103485.05749392787</v>
      </c>
      <c r="F7" s="3" t="s">
        <v>1</v>
      </c>
      <c r="G7" s="5">
        <v>-1308.1995134262395</v>
      </c>
      <c r="J7" s="3" t="s">
        <v>12</v>
      </c>
      <c r="K7" s="5">
        <v>9.9999999999999964</v>
      </c>
    </row>
    <row r="8" spans="2:12" x14ac:dyDescent="0.25">
      <c r="B8" s="4" t="s">
        <v>3</v>
      </c>
      <c r="C8" s="6">
        <v>0</v>
      </c>
      <c r="F8" s="3" t="s">
        <v>4</v>
      </c>
      <c r="G8" s="5">
        <v>99.999999999999972</v>
      </c>
      <c r="J8" s="3" t="s">
        <v>13</v>
      </c>
      <c r="K8" s="5">
        <v>10</v>
      </c>
    </row>
    <row r="9" spans="2:12" x14ac:dyDescent="0.25">
      <c r="F9" s="4" t="s">
        <v>3</v>
      </c>
      <c r="G9" s="6">
        <v>0</v>
      </c>
      <c r="J9" s="4" t="s">
        <v>3</v>
      </c>
      <c r="K9" s="6">
        <v>100</v>
      </c>
    </row>
    <row r="15" spans="2:12" ht="43.15" customHeight="1" x14ac:dyDescent="0.25">
      <c r="B15" s="45" t="s">
        <v>25</v>
      </c>
      <c r="C15" s="46"/>
      <c r="D15" s="46"/>
      <c r="E15" s="46"/>
      <c r="F15" s="46"/>
      <c r="G15" s="46"/>
      <c r="H15" s="46"/>
      <c r="I15" s="46"/>
      <c r="J15" s="46"/>
      <c r="K15" s="46"/>
      <c r="L15" s="47"/>
    </row>
    <row r="16" spans="2:12" ht="28.15" customHeight="1" x14ac:dyDescent="0.25">
      <c r="B16" s="45" t="s">
        <v>33</v>
      </c>
      <c r="C16" s="46"/>
      <c r="D16" s="46"/>
      <c r="E16" s="46"/>
      <c r="F16" s="46"/>
      <c r="G16" s="46"/>
      <c r="H16" s="46"/>
      <c r="I16" s="46"/>
      <c r="J16" s="46"/>
      <c r="K16" s="46"/>
      <c r="L16" s="47"/>
    </row>
    <row r="17" spans="1:12" ht="28.15" customHeight="1" x14ac:dyDescent="0.25">
      <c r="B17" s="45" t="s">
        <v>44</v>
      </c>
      <c r="C17" s="46"/>
      <c r="D17" s="46"/>
      <c r="E17" s="46"/>
      <c r="F17" s="46"/>
      <c r="G17" s="46"/>
      <c r="H17" s="46"/>
      <c r="I17" s="46"/>
      <c r="J17" s="46"/>
      <c r="K17" s="46"/>
      <c r="L17" s="47"/>
    </row>
    <row r="18" spans="1:12" x14ac:dyDescent="0.25">
      <c r="A18" s="13"/>
      <c r="B18" s="13"/>
      <c r="C18" s="13"/>
      <c r="D18" s="13"/>
      <c r="E18" s="13"/>
      <c r="F18" s="13"/>
      <c r="G18" s="13"/>
      <c r="H18" s="13"/>
      <c r="I18" s="13"/>
      <c r="J18" s="13"/>
      <c r="K18" s="13"/>
    </row>
    <row r="19" spans="1:12" ht="27" customHeight="1" x14ac:dyDescent="0.25">
      <c r="B19" s="48" t="s">
        <v>26</v>
      </c>
      <c r="C19" s="48"/>
      <c r="D19" s="48"/>
      <c r="E19" s="48"/>
      <c r="F19" s="48"/>
      <c r="G19" s="48"/>
      <c r="H19" s="48"/>
      <c r="I19" s="48"/>
      <c r="J19" s="48"/>
      <c r="K19" s="48"/>
      <c r="L19" s="48"/>
    </row>
    <row r="20" spans="1:12" ht="31.15" customHeight="1" x14ac:dyDescent="0.25">
      <c r="B20" s="48" t="s">
        <v>45</v>
      </c>
      <c r="C20" s="48"/>
      <c r="D20" s="48"/>
      <c r="E20" s="48"/>
      <c r="F20" s="48"/>
      <c r="G20" s="48"/>
      <c r="H20" s="48"/>
      <c r="I20" s="48"/>
      <c r="J20" s="48"/>
      <c r="K20" s="48"/>
      <c r="L20" s="48"/>
    </row>
    <row r="21" spans="1:12" x14ac:dyDescent="0.25">
      <c r="B21" t="s">
        <v>36</v>
      </c>
    </row>
    <row r="22" spans="1:12" x14ac:dyDescent="0.25">
      <c r="B22" t="s">
        <v>29</v>
      </c>
    </row>
    <row r="23" spans="1:12" x14ac:dyDescent="0.25">
      <c r="B23" t="s">
        <v>27</v>
      </c>
    </row>
    <row r="24" spans="1:12" x14ac:dyDescent="0.25">
      <c r="B24" t="s">
        <v>28</v>
      </c>
    </row>
    <row r="25" spans="1:12" x14ac:dyDescent="0.25">
      <c r="B25" t="s">
        <v>46</v>
      </c>
    </row>
    <row r="26" spans="1:12" x14ac:dyDescent="0.25">
      <c r="B26" t="s">
        <v>30</v>
      </c>
    </row>
    <row r="27" spans="1:12" x14ac:dyDescent="0.25">
      <c r="B27" t="s">
        <v>31</v>
      </c>
    </row>
    <row r="28" spans="1:12" x14ac:dyDescent="0.25">
      <c r="B28" t="s">
        <v>32</v>
      </c>
    </row>
  </sheetData>
  <mergeCells count="5">
    <mergeCell ref="B15:L15"/>
    <mergeCell ref="B16:L16"/>
    <mergeCell ref="B19:L19"/>
    <mergeCell ref="B17:L17"/>
    <mergeCell ref="B20:L20"/>
  </mergeCells>
  <dataValidations count="1">
    <dataValidation type="list" allowBlank="1" showInputMessage="1" showErrorMessage="1" errorTitle="Invalid type" error="Type must be either END or BGN" sqref="C3 G3 K3" xr:uid="{36E0BC18-B758-4F68-B80E-860A16058B70}">
      <formula1>"END, BGN"</formula1>
    </dataValidation>
  </dataValidation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OrdinaryAnnuity.OrdinaryAnnuity">
                <anchor moveWithCells="1" sizeWithCells="1">
                  <from>
                    <xdr:col>1</xdr:col>
                    <xdr:colOff>609600</xdr:colOff>
                    <xdr:row>10</xdr:row>
                    <xdr:rowOff>19050</xdr:rowOff>
                  </from>
                  <to>
                    <xdr:col>3</xdr:col>
                    <xdr:colOff>0</xdr:colOff>
                    <xdr:row>11</xdr:row>
                    <xdr:rowOff>180975</xdr:rowOff>
                  </to>
                </anchor>
              </controlPr>
            </control>
          </mc:Choice>
        </mc:AlternateContent>
        <mc:AlternateContent xmlns:mc="http://schemas.openxmlformats.org/markup-compatibility/2006">
          <mc:Choice Requires="x14">
            <control shapeId="1042" r:id="rId5" name="Button 18">
              <controlPr defaultSize="0" print="0" autoFill="0" autoPict="0" macro="[0]!GeometricAnnuity.GeometricAnnuity">
                <anchor moveWithCells="1" sizeWithCells="1">
                  <from>
                    <xdr:col>6</xdr:col>
                    <xdr:colOff>0</xdr:colOff>
                    <xdr:row>10</xdr:row>
                    <xdr:rowOff>19050</xdr:rowOff>
                  </from>
                  <to>
                    <xdr:col>7</xdr:col>
                    <xdr:colOff>0</xdr:colOff>
                    <xdr:row>11</xdr:row>
                    <xdr:rowOff>171450</xdr:rowOff>
                  </to>
                </anchor>
              </controlPr>
            </control>
          </mc:Choice>
        </mc:AlternateContent>
        <mc:AlternateContent xmlns:mc="http://schemas.openxmlformats.org/markup-compatibility/2006">
          <mc:Choice Requires="x14">
            <control shapeId="1055" r:id="rId6" name="Button 31">
              <controlPr defaultSize="0" print="0" autoFill="0" autoPict="0" macro="[0]!ArithmeticAnnuity.ArithmeticAnnuity">
                <anchor moveWithCells="1" sizeWithCells="1">
                  <from>
                    <xdr:col>10</xdr:col>
                    <xdr:colOff>9525</xdr:colOff>
                    <xdr:row>10</xdr:row>
                    <xdr:rowOff>19050</xdr:rowOff>
                  </from>
                  <to>
                    <xdr:col>11</xdr:col>
                    <xdr:colOff>0</xdr:colOff>
                    <xdr:row>11</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34F034-210E-41A2-A688-6861C8B029CA}">
  <sheetPr codeName="Sheet3"/>
  <dimension ref="B1:K52"/>
  <sheetViews>
    <sheetView workbookViewId="0">
      <selection activeCell="J8" sqref="J8"/>
    </sheetView>
  </sheetViews>
  <sheetFormatPr defaultRowHeight="15" x14ac:dyDescent="0.25"/>
  <cols>
    <col min="2" max="2" width="10.28515625" style="41" bestFit="1" customWidth="1"/>
    <col min="3" max="3" width="17.42578125" style="42" bestFit="1" customWidth="1"/>
    <col min="4" max="4" width="8.85546875" style="42" bestFit="1" customWidth="1"/>
    <col min="5" max="5" width="8" style="42" bestFit="1" customWidth="1"/>
    <col min="6" max="6" width="8.7109375" style="42" bestFit="1" customWidth="1"/>
    <col min="7" max="7" width="14.42578125" style="42" bestFit="1" customWidth="1"/>
    <col min="9" max="9" width="19.140625" bestFit="1" customWidth="1"/>
    <col min="10" max="10" width="11.7109375" bestFit="1" customWidth="1"/>
    <col min="11" max="11" width="2.42578125" bestFit="1" customWidth="1"/>
  </cols>
  <sheetData>
    <row r="1" spans="2:11" x14ac:dyDescent="0.25">
      <c r="B1"/>
      <c r="C1"/>
      <c r="D1"/>
      <c r="E1"/>
      <c r="F1"/>
      <c r="G1"/>
    </row>
    <row r="2" spans="2:11" x14ac:dyDescent="0.25">
      <c r="B2" s="25" t="s">
        <v>35</v>
      </c>
      <c r="C2" s="22" t="s">
        <v>15</v>
      </c>
      <c r="D2" s="22" t="s">
        <v>16</v>
      </c>
      <c r="E2" s="22" t="s">
        <v>17</v>
      </c>
      <c r="F2" s="22" t="s">
        <v>18</v>
      </c>
      <c r="G2" s="23" t="s">
        <v>19</v>
      </c>
      <c r="I2" s="49" t="s">
        <v>20</v>
      </c>
      <c r="J2" s="50"/>
    </row>
    <row r="3" spans="2:11" x14ac:dyDescent="0.25">
      <c r="B3" s="14">
        <v>1</v>
      </c>
      <c r="C3" s="42">
        <f xml:space="preserve"> L_L_val</f>
        <v>1000</v>
      </c>
      <c r="D3" s="42">
        <f t="shared" ref="D3:D34" si="0" xml:space="preserve"> L_Pmt_val</f>
        <v>20</v>
      </c>
      <c r="E3" s="42">
        <f t="shared" ref="E3:E34" si="1" xml:space="preserve"> C3 * L_I_val/100</f>
        <v>10</v>
      </c>
      <c r="F3" s="42">
        <f t="shared" ref="F3:F34" si="2" xml:space="preserve"> D3 - E3</f>
        <v>10</v>
      </c>
      <c r="G3" s="15">
        <f t="shared" ref="G3:G34" si="3" xml:space="preserve"> C3 - F3</f>
        <v>990</v>
      </c>
      <c r="I3" s="21" t="s">
        <v>21</v>
      </c>
      <c r="J3" s="16">
        <v>50</v>
      </c>
    </row>
    <row r="4" spans="2:11" x14ac:dyDescent="0.25">
      <c r="B4" s="14">
        <v>2</v>
      </c>
      <c r="C4" s="42">
        <f t="shared" ref="C4:C35" si="4" xml:space="preserve"> G3</f>
        <v>990</v>
      </c>
      <c r="D4" s="42">
        <f t="shared" si="0"/>
        <v>20</v>
      </c>
      <c r="E4" s="42">
        <f t="shared" si="1"/>
        <v>9.9</v>
      </c>
      <c r="F4" s="42">
        <f t="shared" si="2"/>
        <v>10.1</v>
      </c>
      <c r="G4" s="15">
        <f t="shared" si="3"/>
        <v>979.9</v>
      </c>
      <c r="I4" s="21" t="s">
        <v>22</v>
      </c>
      <c r="J4" s="16">
        <v>1</v>
      </c>
      <c r="K4" t="s">
        <v>9</v>
      </c>
    </row>
    <row r="5" spans="2:11" x14ac:dyDescent="0.25">
      <c r="B5" s="14">
        <v>3</v>
      </c>
      <c r="C5" s="42">
        <f t="shared" si="4"/>
        <v>979.9</v>
      </c>
      <c r="D5" s="42">
        <f t="shared" si="0"/>
        <v>20</v>
      </c>
      <c r="E5" s="42">
        <f t="shared" si="1"/>
        <v>9.7989999999999995</v>
      </c>
      <c r="F5" s="42">
        <f t="shared" si="2"/>
        <v>10.201000000000001</v>
      </c>
      <c r="G5" s="15">
        <f t="shared" si="3"/>
        <v>969.69899999999996</v>
      </c>
      <c r="I5" s="21" t="s">
        <v>23</v>
      </c>
      <c r="J5" s="15">
        <v>1000</v>
      </c>
    </row>
    <row r="6" spans="2:11" x14ac:dyDescent="0.25">
      <c r="B6" s="14">
        <v>4</v>
      </c>
      <c r="C6" s="42">
        <f t="shared" si="4"/>
        <v>969.69899999999996</v>
      </c>
      <c r="D6" s="42">
        <f t="shared" si="0"/>
        <v>20</v>
      </c>
      <c r="E6" s="42">
        <f t="shared" si="1"/>
        <v>9.6969899999999996</v>
      </c>
      <c r="F6" s="42">
        <f t="shared" si="2"/>
        <v>10.30301</v>
      </c>
      <c r="G6" s="15">
        <f t="shared" si="3"/>
        <v>959.39598999999998</v>
      </c>
      <c r="I6" s="24" t="s">
        <v>24</v>
      </c>
      <c r="J6" s="18">
        <v>20</v>
      </c>
    </row>
    <row r="7" spans="2:11" x14ac:dyDescent="0.25">
      <c r="B7" s="14">
        <v>5</v>
      </c>
      <c r="C7" s="42">
        <f t="shared" si="4"/>
        <v>959.39598999999998</v>
      </c>
      <c r="D7" s="42">
        <f t="shared" si="0"/>
        <v>20</v>
      </c>
      <c r="E7" s="42">
        <f t="shared" si="1"/>
        <v>9.5939598999999998</v>
      </c>
      <c r="F7" s="42">
        <f t="shared" si="2"/>
        <v>10.4060401</v>
      </c>
      <c r="G7" s="15">
        <f t="shared" si="3"/>
        <v>948.98994989999994</v>
      </c>
    </row>
    <row r="8" spans="2:11" x14ac:dyDescent="0.25">
      <c r="B8" s="14">
        <v>6</v>
      </c>
      <c r="C8" s="42">
        <f t="shared" si="4"/>
        <v>948.98994989999994</v>
      </c>
      <c r="D8" s="42">
        <f t="shared" si="0"/>
        <v>20</v>
      </c>
      <c r="E8" s="42">
        <f t="shared" si="1"/>
        <v>9.4898994989999998</v>
      </c>
      <c r="F8" s="42">
        <f t="shared" si="2"/>
        <v>10.510100501</v>
      </c>
      <c r="G8" s="15">
        <f t="shared" si="3"/>
        <v>938.47984939899993</v>
      </c>
      <c r="I8" s="39" t="s">
        <v>34</v>
      </c>
      <c r="J8" s="40">
        <f>G52</f>
        <v>355.36817815611749</v>
      </c>
    </row>
    <row r="9" spans="2:11" x14ac:dyDescent="0.25">
      <c r="B9" s="14">
        <v>7</v>
      </c>
      <c r="C9" s="42">
        <f t="shared" si="4"/>
        <v>938.47984939899993</v>
      </c>
      <c r="D9" s="42">
        <f t="shared" si="0"/>
        <v>20</v>
      </c>
      <c r="E9" s="42">
        <f t="shared" si="1"/>
        <v>9.3847984939899991</v>
      </c>
      <c r="F9" s="42">
        <f t="shared" si="2"/>
        <v>10.615201506010001</v>
      </c>
      <c r="G9" s="15">
        <f t="shared" si="3"/>
        <v>927.86464789298998</v>
      </c>
    </row>
    <row r="10" spans="2:11" x14ac:dyDescent="0.25">
      <c r="B10" s="14">
        <v>8</v>
      </c>
      <c r="C10" s="42">
        <f t="shared" si="4"/>
        <v>927.86464789298998</v>
      </c>
      <c r="D10" s="42">
        <f t="shared" si="0"/>
        <v>20</v>
      </c>
      <c r="E10" s="42">
        <f t="shared" si="1"/>
        <v>9.2786464789299004</v>
      </c>
      <c r="F10" s="42">
        <f t="shared" si="2"/>
        <v>10.7213535210701</v>
      </c>
      <c r="G10" s="15">
        <f t="shared" si="3"/>
        <v>917.14329437191986</v>
      </c>
    </row>
    <row r="11" spans="2:11" x14ac:dyDescent="0.25">
      <c r="B11" s="14">
        <v>9</v>
      </c>
      <c r="C11" s="42">
        <f t="shared" si="4"/>
        <v>917.14329437191986</v>
      </c>
      <c r="D11" s="42">
        <f t="shared" si="0"/>
        <v>20</v>
      </c>
      <c r="E11" s="42">
        <f t="shared" si="1"/>
        <v>9.1714329437191981</v>
      </c>
      <c r="F11" s="42">
        <f t="shared" si="2"/>
        <v>10.828567056280802</v>
      </c>
      <c r="G11" s="15">
        <f t="shared" si="3"/>
        <v>906.31472731563906</v>
      </c>
    </row>
    <row r="12" spans="2:11" x14ac:dyDescent="0.25">
      <c r="B12" s="14">
        <v>10</v>
      </c>
      <c r="C12" s="42">
        <f t="shared" si="4"/>
        <v>906.31472731563906</v>
      </c>
      <c r="D12" s="42">
        <f t="shared" si="0"/>
        <v>20</v>
      </c>
      <c r="E12" s="42">
        <f t="shared" si="1"/>
        <v>9.0631472731563907</v>
      </c>
      <c r="F12" s="42">
        <f t="shared" si="2"/>
        <v>10.936852726843609</v>
      </c>
      <c r="G12" s="15">
        <f t="shared" si="3"/>
        <v>895.37787458879541</v>
      </c>
    </row>
    <row r="13" spans="2:11" x14ac:dyDescent="0.25">
      <c r="B13" s="14">
        <v>11</v>
      </c>
      <c r="C13" s="42">
        <f t="shared" si="4"/>
        <v>895.37787458879541</v>
      </c>
      <c r="D13" s="42">
        <f t="shared" si="0"/>
        <v>20</v>
      </c>
      <c r="E13" s="42">
        <f t="shared" si="1"/>
        <v>8.9537787458879539</v>
      </c>
      <c r="F13" s="42">
        <f t="shared" si="2"/>
        <v>11.046221254112046</v>
      </c>
      <c r="G13" s="15">
        <f t="shared" si="3"/>
        <v>884.33165333468332</v>
      </c>
    </row>
    <row r="14" spans="2:11" x14ac:dyDescent="0.25">
      <c r="B14" s="14">
        <v>12</v>
      </c>
      <c r="C14" s="42">
        <f t="shared" si="4"/>
        <v>884.33165333468332</v>
      </c>
      <c r="D14" s="42">
        <f t="shared" si="0"/>
        <v>20</v>
      </c>
      <c r="E14" s="42">
        <f t="shared" si="1"/>
        <v>8.8433165333468331</v>
      </c>
      <c r="F14" s="42">
        <f t="shared" si="2"/>
        <v>11.156683466653167</v>
      </c>
      <c r="G14" s="15">
        <f t="shared" si="3"/>
        <v>873.17496986803019</v>
      </c>
    </row>
    <row r="15" spans="2:11" x14ac:dyDescent="0.25">
      <c r="B15" s="14">
        <v>13</v>
      </c>
      <c r="C15" s="42">
        <f t="shared" si="4"/>
        <v>873.17496986803019</v>
      </c>
      <c r="D15" s="42">
        <f t="shared" si="0"/>
        <v>20</v>
      </c>
      <c r="E15" s="42">
        <f t="shared" si="1"/>
        <v>8.7317496986803018</v>
      </c>
      <c r="F15" s="42">
        <f t="shared" si="2"/>
        <v>11.268250301319698</v>
      </c>
      <c r="G15" s="15">
        <f t="shared" si="3"/>
        <v>861.90671956671054</v>
      </c>
    </row>
    <row r="16" spans="2:11" x14ac:dyDescent="0.25">
      <c r="B16" s="14">
        <v>14</v>
      </c>
      <c r="C16" s="42">
        <f t="shared" si="4"/>
        <v>861.90671956671054</v>
      </c>
      <c r="D16" s="42">
        <f t="shared" si="0"/>
        <v>20</v>
      </c>
      <c r="E16" s="42">
        <f t="shared" si="1"/>
        <v>8.619067195667105</v>
      </c>
      <c r="F16" s="42">
        <f t="shared" si="2"/>
        <v>11.380932804332895</v>
      </c>
      <c r="G16" s="15">
        <f t="shared" si="3"/>
        <v>850.52578676237761</v>
      </c>
    </row>
    <row r="17" spans="2:7" x14ac:dyDescent="0.25">
      <c r="B17" s="14">
        <v>15</v>
      </c>
      <c r="C17" s="42">
        <f t="shared" si="4"/>
        <v>850.52578676237761</v>
      </c>
      <c r="D17" s="42">
        <f t="shared" si="0"/>
        <v>20</v>
      </c>
      <c r="E17" s="42">
        <f t="shared" si="1"/>
        <v>8.5052578676237758</v>
      </c>
      <c r="F17" s="42">
        <f t="shared" si="2"/>
        <v>11.494742132376224</v>
      </c>
      <c r="G17" s="15">
        <f t="shared" si="3"/>
        <v>839.03104463000136</v>
      </c>
    </row>
    <row r="18" spans="2:7" x14ac:dyDescent="0.25">
      <c r="B18" s="14">
        <v>16</v>
      </c>
      <c r="C18" s="42">
        <f t="shared" si="4"/>
        <v>839.03104463000136</v>
      </c>
      <c r="D18" s="42">
        <f t="shared" si="0"/>
        <v>20</v>
      </c>
      <c r="E18" s="42">
        <f t="shared" si="1"/>
        <v>8.3903104463000133</v>
      </c>
      <c r="F18" s="42">
        <f t="shared" si="2"/>
        <v>11.609689553699987</v>
      </c>
      <c r="G18" s="15">
        <f t="shared" si="3"/>
        <v>827.42135507630132</v>
      </c>
    </row>
    <row r="19" spans="2:7" x14ac:dyDescent="0.25">
      <c r="B19" s="14">
        <v>17</v>
      </c>
      <c r="C19" s="42">
        <f t="shared" si="4"/>
        <v>827.42135507630132</v>
      </c>
      <c r="D19" s="42">
        <f t="shared" si="0"/>
        <v>20</v>
      </c>
      <c r="E19" s="42">
        <f t="shared" si="1"/>
        <v>8.2742135507630135</v>
      </c>
      <c r="F19" s="42">
        <f t="shared" si="2"/>
        <v>11.725786449236987</v>
      </c>
      <c r="G19" s="15">
        <f t="shared" si="3"/>
        <v>815.69556862706429</v>
      </c>
    </row>
    <row r="20" spans="2:7" x14ac:dyDescent="0.25">
      <c r="B20" s="14">
        <v>18</v>
      </c>
      <c r="C20" s="42">
        <f t="shared" si="4"/>
        <v>815.69556862706429</v>
      </c>
      <c r="D20" s="42">
        <f t="shared" si="0"/>
        <v>20</v>
      </c>
      <c r="E20" s="42">
        <f t="shared" si="1"/>
        <v>8.156955686270642</v>
      </c>
      <c r="F20" s="42">
        <f t="shared" si="2"/>
        <v>11.843044313729358</v>
      </c>
      <c r="G20" s="15">
        <f t="shared" si="3"/>
        <v>803.85252431333492</v>
      </c>
    </row>
    <row r="21" spans="2:7" x14ac:dyDescent="0.25">
      <c r="B21" s="14">
        <v>19</v>
      </c>
      <c r="C21" s="42">
        <f t="shared" si="4"/>
        <v>803.85252431333492</v>
      </c>
      <c r="D21" s="42">
        <f t="shared" si="0"/>
        <v>20</v>
      </c>
      <c r="E21" s="42">
        <f t="shared" si="1"/>
        <v>8.0385252431333498</v>
      </c>
      <c r="F21" s="42">
        <f t="shared" si="2"/>
        <v>11.96147475686665</v>
      </c>
      <c r="G21" s="15">
        <f t="shared" si="3"/>
        <v>791.89104955646826</v>
      </c>
    </row>
    <row r="22" spans="2:7" x14ac:dyDescent="0.25">
      <c r="B22" s="14">
        <v>20</v>
      </c>
      <c r="C22" s="42">
        <f t="shared" si="4"/>
        <v>791.89104955646826</v>
      </c>
      <c r="D22" s="42">
        <f t="shared" si="0"/>
        <v>20</v>
      </c>
      <c r="E22" s="42">
        <f t="shared" si="1"/>
        <v>7.918910495564683</v>
      </c>
      <c r="F22" s="42">
        <f t="shared" si="2"/>
        <v>12.081089504435317</v>
      </c>
      <c r="G22" s="15">
        <f t="shared" si="3"/>
        <v>779.80996005203292</v>
      </c>
    </row>
    <row r="23" spans="2:7" x14ac:dyDescent="0.25">
      <c r="B23" s="14">
        <v>21</v>
      </c>
      <c r="C23" s="42">
        <f t="shared" si="4"/>
        <v>779.80996005203292</v>
      </c>
      <c r="D23" s="42">
        <f t="shared" si="0"/>
        <v>20</v>
      </c>
      <c r="E23" s="42">
        <f t="shared" si="1"/>
        <v>7.7980996005203291</v>
      </c>
      <c r="F23" s="42">
        <f t="shared" si="2"/>
        <v>12.201900399479671</v>
      </c>
      <c r="G23" s="15">
        <f t="shared" si="3"/>
        <v>767.60805965255327</v>
      </c>
    </row>
    <row r="24" spans="2:7" x14ac:dyDescent="0.25">
      <c r="B24" s="14">
        <v>22</v>
      </c>
      <c r="C24" s="42">
        <f t="shared" si="4"/>
        <v>767.60805965255327</v>
      </c>
      <c r="D24" s="42">
        <f t="shared" si="0"/>
        <v>20</v>
      </c>
      <c r="E24" s="42">
        <f t="shared" si="1"/>
        <v>7.6760805965255328</v>
      </c>
      <c r="F24" s="42">
        <f t="shared" si="2"/>
        <v>12.323919403474466</v>
      </c>
      <c r="G24" s="15">
        <f t="shared" si="3"/>
        <v>755.28414024907875</v>
      </c>
    </row>
    <row r="25" spans="2:7" x14ac:dyDescent="0.25">
      <c r="B25" s="14">
        <v>23</v>
      </c>
      <c r="C25" s="42">
        <f t="shared" si="4"/>
        <v>755.28414024907875</v>
      </c>
      <c r="D25" s="42">
        <f t="shared" si="0"/>
        <v>20</v>
      </c>
      <c r="E25" s="42">
        <f t="shared" si="1"/>
        <v>7.5528414024907873</v>
      </c>
      <c r="F25" s="42">
        <f t="shared" si="2"/>
        <v>12.447158597509212</v>
      </c>
      <c r="G25" s="15">
        <f t="shared" si="3"/>
        <v>742.83698165156954</v>
      </c>
    </row>
    <row r="26" spans="2:7" x14ac:dyDescent="0.25">
      <c r="B26" s="14">
        <v>24</v>
      </c>
      <c r="C26" s="42">
        <f t="shared" si="4"/>
        <v>742.83698165156954</v>
      </c>
      <c r="D26" s="42">
        <f t="shared" si="0"/>
        <v>20</v>
      </c>
      <c r="E26" s="42">
        <f t="shared" si="1"/>
        <v>7.4283698165156951</v>
      </c>
      <c r="F26" s="42">
        <f t="shared" si="2"/>
        <v>12.571630183484306</v>
      </c>
      <c r="G26" s="15">
        <f t="shared" si="3"/>
        <v>730.26535146808521</v>
      </c>
    </row>
    <row r="27" spans="2:7" x14ac:dyDescent="0.25">
      <c r="B27" s="14">
        <v>25</v>
      </c>
      <c r="C27" s="42">
        <f t="shared" si="4"/>
        <v>730.26535146808521</v>
      </c>
      <c r="D27" s="42">
        <f t="shared" si="0"/>
        <v>20</v>
      </c>
      <c r="E27" s="42">
        <f t="shared" si="1"/>
        <v>7.302653514680852</v>
      </c>
      <c r="F27" s="42">
        <f t="shared" si="2"/>
        <v>12.697346485319148</v>
      </c>
      <c r="G27" s="15">
        <f t="shared" si="3"/>
        <v>717.56800498276607</v>
      </c>
    </row>
    <row r="28" spans="2:7" x14ac:dyDescent="0.25">
      <c r="B28" s="14">
        <v>26</v>
      </c>
      <c r="C28" s="42">
        <f t="shared" si="4"/>
        <v>717.56800498276607</v>
      </c>
      <c r="D28" s="42">
        <f t="shared" si="0"/>
        <v>20</v>
      </c>
      <c r="E28" s="42">
        <f t="shared" si="1"/>
        <v>7.1756800498276609</v>
      </c>
      <c r="F28" s="42">
        <f t="shared" si="2"/>
        <v>12.824319950172338</v>
      </c>
      <c r="G28" s="15">
        <f t="shared" si="3"/>
        <v>704.7436850325937</v>
      </c>
    </row>
    <row r="29" spans="2:7" x14ac:dyDescent="0.25">
      <c r="B29" s="14">
        <v>27</v>
      </c>
      <c r="C29" s="42">
        <f t="shared" si="4"/>
        <v>704.7436850325937</v>
      </c>
      <c r="D29" s="42">
        <f t="shared" si="0"/>
        <v>20</v>
      </c>
      <c r="E29" s="42">
        <f t="shared" si="1"/>
        <v>7.047436850325937</v>
      </c>
      <c r="F29" s="42">
        <f t="shared" si="2"/>
        <v>12.952563149674063</v>
      </c>
      <c r="G29" s="15">
        <f t="shared" si="3"/>
        <v>691.7911218829197</v>
      </c>
    </row>
    <row r="30" spans="2:7" x14ac:dyDescent="0.25">
      <c r="B30" s="14">
        <v>28</v>
      </c>
      <c r="C30" s="42">
        <f t="shared" si="4"/>
        <v>691.7911218829197</v>
      </c>
      <c r="D30" s="42">
        <f t="shared" si="0"/>
        <v>20</v>
      </c>
      <c r="E30" s="42">
        <f t="shared" si="1"/>
        <v>6.9179112188291967</v>
      </c>
      <c r="F30" s="42">
        <f t="shared" si="2"/>
        <v>13.082088781170803</v>
      </c>
      <c r="G30" s="15">
        <f t="shared" si="3"/>
        <v>678.7090331017489</v>
      </c>
    </row>
    <row r="31" spans="2:7" x14ac:dyDescent="0.25">
      <c r="B31" s="14">
        <v>29</v>
      </c>
      <c r="C31" s="42">
        <f t="shared" si="4"/>
        <v>678.7090331017489</v>
      </c>
      <c r="D31" s="42">
        <f t="shared" si="0"/>
        <v>20</v>
      </c>
      <c r="E31" s="42">
        <f t="shared" si="1"/>
        <v>6.787090331017489</v>
      </c>
      <c r="F31" s="42">
        <f t="shared" si="2"/>
        <v>13.212909668982512</v>
      </c>
      <c r="G31" s="15">
        <f t="shared" si="3"/>
        <v>665.49612343276635</v>
      </c>
    </row>
    <row r="32" spans="2:7" x14ac:dyDescent="0.25">
      <c r="B32" s="14">
        <v>30</v>
      </c>
      <c r="C32" s="42">
        <f t="shared" si="4"/>
        <v>665.49612343276635</v>
      </c>
      <c r="D32" s="42">
        <f t="shared" si="0"/>
        <v>20</v>
      </c>
      <c r="E32" s="42">
        <f t="shared" si="1"/>
        <v>6.6549612343276632</v>
      </c>
      <c r="F32" s="42">
        <f t="shared" si="2"/>
        <v>13.345038765672337</v>
      </c>
      <c r="G32" s="15">
        <f t="shared" si="3"/>
        <v>652.15108466709398</v>
      </c>
    </row>
    <row r="33" spans="2:7" x14ac:dyDescent="0.25">
      <c r="B33" s="14">
        <v>31</v>
      </c>
      <c r="C33" s="42">
        <f t="shared" si="4"/>
        <v>652.15108466709398</v>
      </c>
      <c r="D33" s="42">
        <f t="shared" si="0"/>
        <v>20</v>
      </c>
      <c r="E33" s="42">
        <f t="shared" si="1"/>
        <v>6.5215108466709397</v>
      </c>
      <c r="F33" s="42">
        <f t="shared" si="2"/>
        <v>13.478489153329061</v>
      </c>
      <c r="G33" s="15">
        <f t="shared" si="3"/>
        <v>638.67259551376492</v>
      </c>
    </row>
    <row r="34" spans="2:7" x14ac:dyDescent="0.25">
      <c r="B34" s="14">
        <v>32</v>
      </c>
      <c r="C34" s="42">
        <f t="shared" si="4"/>
        <v>638.67259551376492</v>
      </c>
      <c r="D34" s="42">
        <f t="shared" si="0"/>
        <v>20</v>
      </c>
      <c r="E34" s="42">
        <f t="shared" si="1"/>
        <v>6.3867259551376492</v>
      </c>
      <c r="F34" s="42">
        <f t="shared" si="2"/>
        <v>13.613274044862351</v>
      </c>
      <c r="G34" s="15">
        <f t="shared" si="3"/>
        <v>625.05932146890257</v>
      </c>
    </row>
    <row r="35" spans="2:7" x14ac:dyDescent="0.25">
      <c r="B35" s="14">
        <v>33</v>
      </c>
      <c r="C35" s="42">
        <f t="shared" si="4"/>
        <v>625.05932146890257</v>
      </c>
      <c r="D35" s="42">
        <f t="shared" ref="D35:D52" si="5" xml:space="preserve"> L_Pmt_val</f>
        <v>20</v>
      </c>
      <c r="E35" s="42">
        <f t="shared" ref="E35:E52" si="6" xml:space="preserve"> C35 * L_I_val/100</f>
        <v>6.250593214689026</v>
      </c>
      <c r="F35" s="42">
        <f t="shared" ref="F35:F66" si="7" xml:space="preserve"> D35 - E35</f>
        <v>13.749406785310974</v>
      </c>
      <c r="G35" s="15">
        <f t="shared" ref="G35:G66" si="8" xml:space="preserve"> C35 - F35</f>
        <v>611.30991468359161</v>
      </c>
    </row>
    <row r="36" spans="2:7" x14ac:dyDescent="0.25">
      <c r="B36" s="14">
        <v>34</v>
      </c>
      <c r="C36" s="42">
        <f t="shared" ref="C36:C52" si="9" xml:space="preserve"> G35</f>
        <v>611.30991468359161</v>
      </c>
      <c r="D36" s="42">
        <f t="shared" si="5"/>
        <v>20</v>
      </c>
      <c r="E36" s="42">
        <f t="shared" si="6"/>
        <v>6.1130991468359159</v>
      </c>
      <c r="F36" s="42">
        <f t="shared" si="7"/>
        <v>13.886900853164084</v>
      </c>
      <c r="G36" s="15">
        <f t="shared" si="8"/>
        <v>597.42301383042752</v>
      </c>
    </row>
    <row r="37" spans="2:7" x14ac:dyDescent="0.25">
      <c r="B37" s="14">
        <v>35</v>
      </c>
      <c r="C37" s="42">
        <f t="shared" si="9"/>
        <v>597.42301383042752</v>
      </c>
      <c r="D37" s="42">
        <f t="shared" si="5"/>
        <v>20</v>
      </c>
      <c r="E37" s="42">
        <f t="shared" si="6"/>
        <v>5.9742301383042751</v>
      </c>
      <c r="F37" s="42">
        <f t="shared" si="7"/>
        <v>14.025769861695725</v>
      </c>
      <c r="G37" s="15">
        <f t="shared" si="8"/>
        <v>583.3972439687318</v>
      </c>
    </row>
    <row r="38" spans="2:7" x14ac:dyDescent="0.25">
      <c r="B38" s="14">
        <v>36</v>
      </c>
      <c r="C38" s="42">
        <f t="shared" si="9"/>
        <v>583.3972439687318</v>
      </c>
      <c r="D38" s="42">
        <f t="shared" si="5"/>
        <v>20</v>
      </c>
      <c r="E38" s="42">
        <f t="shared" si="6"/>
        <v>5.8339724396873178</v>
      </c>
      <c r="F38" s="42">
        <f t="shared" si="7"/>
        <v>14.166027560312681</v>
      </c>
      <c r="G38" s="15">
        <f t="shared" si="8"/>
        <v>569.23121640841907</v>
      </c>
    </row>
    <row r="39" spans="2:7" x14ac:dyDescent="0.25">
      <c r="B39" s="14">
        <v>37</v>
      </c>
      <c r="C39" s="42">
        <f t="shared" si="9"/>
        <v>569.23121640841907</v>
      </c>
      <c r="D39" s="42">
        <f t="shared" si="5"/>
        <v>20</v>
      </c>
      <c r="E39" s="42">
        <f t="shared" si="6"/>
        <v>5.6923121640841909</v>
      </c>
      <c r="F39" s="42">
        <f t="shared" si="7"/>
        <v>14.307687835915809</v>
      </c>
      <c r="G39" s="15">
        <f t="shared" si="8"/>
        <v>554.9235285725033</v>
      </c>
    </row>
    <row r="40" spans="2:7" x14ac:dyDescent="0.25">
      <c r="B40" s="14">
        <v>38</v>
      </c>
      <c r="C40" s="42">
        <f t="shared" si="9"/>
        <v>554.9235285725033</v>
      </c>
      <c r="D40" s="42">
        <f t="shared" si="5"/>
        <v>20</v>
      </c>
      <c r="E40" s="42">
        <f t="shared" si="6"/>
        <v>5.5492352857250333</v>
      </c>
      <c r="F40" s="42">
        <f t="shared" si="7"/>
        <v>14.450764714274968</v>
      </c>
      <c r="G40" s="15">
        <f t="shared" si="8"/>
        <v>540.47276385822829</v>
      </c>
    </row>
    <row r="41" spans="2:7" x14ac:dyDescent="0.25">
      <c r="B41" s="14">
        <v>39</v>
      </c>
      <c r="C41" s="42">
        <f t="shared" si="9"/>
        <v>540.47276385822829</v>
      </c>
      <c r="D41" s="42">
        <f t="shared" si="5"/>
        <v>20</v>
      </c>
      <c r="E41" s="42">
        <f t="shared" si="6"/>
        <v>5.4047276385822833</v>
      </c>
      <c r="F41" s="42">
        <f t="shared" si="7"/>
        <v>14.595272361417717</v>
      </c>
      <c r="G41" s="15">
        <f t="shared" si="8"/>
        <v>525.87749149681053</v>
      </c>
    </row>
    <row r="42" spans="2:7" x14ac:dyDescent="0.25">
      <c r="B42" s="14">
        <v>40</v>
      </c>
      <c r="C42" s="42">
        <f t="shared" si="9"/>
        <v>525.87749149681053</v>
      </c>
      <c r="D42" s="42">
        <f t="shared" si="5"/>
        <v>20</v>
      </c>
      <c r="E42" s="42">
        <f t="shared" si="6"/>
        <v>5.2587749149681056</v>
      </c>
      <c r="F42" s="42">
        <f t="shared" si="7"/>
        <v>14.741225085031894</v>
      </c>
      <c r="G42" s="15">
        <f t="shared" si="8"/>
        <v>511.13626641177865</v>
      </c>
    </row>
    <row r="43" spans="2:7" x14ac:dyDescent="0.25">
      <c r="B43" s="14">
        <v>41</v>
      </c>
      <c r="C43" s="42">
        <f t="shared" si="9"/>
        <v>511.13626641177865</v>
      </c>
      <c r="D43" s="42">
        <f t="shared" si="5"/>
        <v>20</v>
      </c>
      <c r="E43" s="42">
        <f t="shared" si="6"/>
        <v>5.1113626641177863</v>
      </c>
      <c r="F43" s="42">
        <f t="shared" si="7"/>
        <v>14.888637335882214</v>
      </c>
      <c r="G43" s="15">
        <f t="shared" si="8"/>
        <v>496.24762907589644</v>
      </c>
    </row>
    <row r="44" spans="2:7" x14ac:dyDescent="0.25">
      <c r="B44" s="14">
        <v>42</v>
      </c>
      <c r="C44" s="42">
        <f t="shared" si="9"/>
        <v>496.24762907589644</v>
      </c>
      <c r="D44" s="42">
        <f t="shared" si="5"/>
        <v>20</v>
      </c>
      <c r="E44" s="42">
        <f t="shared" si="6"/>
        <v>4.9624762907589641</v>
      </c>
      <c r="F44" s="42">
        <f t="shared" si="7"/>
        <v>15.037523709241036</v>
      </c>
      <c r="G44" s="15">
        <f t="shared" si="8"/>
        <v>481.2101053666554</v>
      </c>
    </row>
    <row r="45" spans="2:7" x14ac:dyDescent="0.25">
      <c r="B45" s="14">
        <v>43</v>
      </c>
      <c r="C45" s="42">
        <f t="shared" si="9"/>
        <v>481.2101053666554</v>
      </c>
      <c r="D45" s="42">
        <f t="shared" si="5"/>
        <v>20</v>
      </c>
      <c r="E45" s="42">
        <f t="shared" si="6"/>
        <v>4.8121010536665541</v>
      </c>
      <c r="F45" s="42">
        <f t="shared" si="7"/>
        <v>15.187898946333446</v>
      </c>
      <c r="G45" s="15">
        <f t="shared" si="8"/>
        <v>466.02220642032194</v>
      </c>
    </row>
    <row r="46" spans="2:7" x14ac:dyDescent="0.25">
      <c r="B46" s="14">
        <v>44</v>
      </c>
      <c r="C46" s="42">
        <f t="shared" si="9"/>
        <v>466.02220642032194</v>
      </c>
      <c r="D46" s="42">
        <f t="shared" si="5"/>
        <v>20</v>
      </c>
      <c r="E46" s="42">
        <f t="shared" si="6"/>
        <v>4.6602220642032197</v>
      </c>
      <c r="F46" s="42">
        <f t="shared" si="7"/>
        <v>15.33977793579678</v>
      </c>
      <c r="G46" s="15">
        <f t="shared" si="8"/>
        <v>450.68242848452513</v>
      </c>
    </row>
    <row r="47" spans="2:7" x14ac:dyDescent="0.25">
      <c r="B47" s="14">
        <v>45</v>
      </c>
      <c r="C47" s="42">
        <f t="shared" si="9"/>
        <v>450.68242848452513</v>
      </c>
      <c r="D47" s="42">
        <f t="shared" si="5"/>
        <v>20</v>
      </c>
      <c r="E47" s="42">
        <f t="shared" si="6"/>
        <v>4.5068242848452513</v>
      </c>
      <c r="F47" s="42">
        <f t="shared" si="7"/>
        <v>15.493175715154749</v>
      </c>
      <c r="G47" s="15">
        <f t="shared" si="8"/>
        <v>435.1892527693704</v>
      </c>
    </row>
    <row r="48" spans="2:7" x14ac:dyDescent="0.25">
      <c r="B48" s="14">
        <v>46</v>
      </c>
      <c r="C48" s="42">
        <f t="shared" si="9"/>
        <v>435.1892527693704</v>
      </c>
      <c r="D48" s="42">
        <f t="shared" si="5"/>
        <v>20</v>
      </c>
      <c r="E48" s="42">
        <f t="shared" si="6"/>
        <v>4.3518925276937042</v>
      </c>
      <c r="F48" s="42">
        <f t="shared" si="7"/>
        <v>15.648107472306297</v>
      </c>
      <c r="G48" s="15">
        <f t="shared" si="8"/>
        <v>419.54114529706408</v>
      </c>
    </row>
    <row r="49" spans="2:7" x14ac:dyDescent="0.25">
      <c r="B49" s="14">
        <v>47</v>
      </c>
      <c r="C49" s="42">
        <f t="shared" si="9"/>
        <v>419.54114529706408</v>
      </c>
      <c r="D49" s="42">
        <f t="shared" si="5"/>
        <v>20</v>
      </c>
      <c r="E49" s="42">
        <f t="shared" si="6"/>
        <v>4.1954114529706406</v>
      </c>
      <c r="F49" s="42">
        <f t="shared" si="7"/>
        <v>15.804588547029359</v>
      </c>
      <c r="G49" s="15">
        <f t="shared" si="8"/>
        <v>403.73655675003471</v>
      </c>
    </row>
    <row r="50" spans="2:7" x14ac:dyDescent="0.25">
      <c r="B50" s="14">
        <v>48</v>
      </c>
      <c r="C50" s="42">
        <f t="shared" si="9"/>
        <v>403.73655675003471</v>
      </c>
      <c r="D50" s="42">
        <f t="shared" si="5"/>
        <v>20</v>
      </c>
      <c r="E50" s="42">
        <f t="shared" si="6"/>
        <v>4.0373655675003475</v>
      </c>
      <c r="F50" s="42">
        <f t="shared" si="7"/>
        <v>15.962634432499652</v>
      </c>
      <c r="G50" s="15">
        <f t="shared" si="8"/>
        <v>387.77392231753504</v>
      </c>
    </row>
    <row r="51" spans="2:7" x14ac:dyDescent="0.25">
      <c r="B51" s="14">
        <v>49</v>
      </c>
      <c r="C51" s="42">
        <f t="shared" si="9"/>
        <v>387.77392231753504</v>
      </c>
      <c r="D51" s="42">
        <f t="shared" si="5"/>
        <v>20</v>
      </c>
      <c r="E51" s="42">
        <f t="shared" si="6"/>
        <v>3.8777392231753502</v>
      </c>
      <c r="F51" s="42">
        <f t="shared" si="7"/>
        <v>16.12226077682465</v>
      </c>
      <c r="G51" s="15">
        <f t="shared" si="8"/>
        <v>371.65166154071039</v>
      </c>
    </row>
    <row r="52" spans="2:7" x14ac:dyDescent="0.25">
      <c r="B52" s="17">
        <v>50</v>
      </c>
      <c r="C52" s="19">
        <f t="shared" si="9"/>
        <v>371.65166154071039</v>
      </c>
      <c r="D52" s="19">
        <f t="shared" si="5"/>
        <v>20</v>
      </c>
      <c r="E52" s="19">
        <f t="shared" si="6"/>
        <v>3.7165166154071039</v>
      </c>
      <c r="F52" s="19">
        <f t="shared" si="7"/>
        <v>16.283483384592895</v>
      </c>
      <c r="G52" s="18">
        <f t="shared" si="8"/>
        <v>355.36817815611749</v>
      </c>
    </row>
  </sheetData>
  <mergeCells count="1">
    <mergeCell ref="I2:J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4" r:id="rId3" name="Button 2">
              <controlPr defaultSize="0" print="0" autoFill="0" autoPict="0" macro="[0]!CreateAmortTable.CreateAmortTable">
                <anchor moveWithCells="1" sizeWithCells="1">
                  <from>
                    <xdr:col>8</xdr:col>
                    <xdr:colOff>9525</xdr:colOff>
                    <xdr:row>9</xdr:row>
                    <xdr:rowOff>28575</xdr:rowOff>
                  </from>
                  <to>
                    <xdr:col>9</xdr:col>
                    <xdr:colOff>0</xdr:colOff>
                    <xdr:row>12</xdr:row>
                    <xdr:rowOff>47625</xdr:rowOff>
                  </to>
                </anchor>
              </controlPr>
            </control>
          </mc:Choice>
        </mc:AlternateContent>
        <mc:AlternateContent xmlns:mc="http://schemas.openxmlformats.org/markup-compatibility/2006">
          <mc:Choice Requires="x14">
            <control shapeId="3075" r:id="rId4" name="Button 3">
              <controlPr defaultSize="0" print="0" autoFill="0" autoPict="0" macro="[0]!ClearAmortTable.ClearAmortTable">
                <anchor moveWithCells="1" sizeWithCells="1">
                  <from>
                    <xdr:col>8</xdr:col>
                    <xdr:colOff>0</xdr:colOff>
                    <xdr:row>14</xdr:row>
                    <xdr:rowOff>9525</xdr:rowOff>
                  </from>
                  <to>
                    <xdr:col>9</xdr:col>
                    <xdr:colOff>9525</xdr:colOff>
                    <xdr:row>17</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5BE588-47EF-4708-9268-849636871C88}">
  <sheetPr codeName="Sheet4"/>
  <dimension ref="B2:I52"/>
  <sheetViews>
    <sheetView workbookViewId="0">
      <selection activeCell="F7" sqref="F7"/>
    </sheetView>
  </sheetViews>
  <sheetFormatPr defaultRowHeight="15" x14ac:dyDescent="0.25"/>
  <cols>
    <col min="2" max="2" width="15" bestFit="1" customWidth="1"/>
    <col min="3" max="3" width="10.28515625" bestFit="1" customWidth="1"/>
    <col min="5" max="5" width="18.85546875" bestFit="1" customWidth="1"/>
    <col min="6" max="6" width="8.5703125" customWidth="1"/>
    <col min="7" max="7" width="2.5703125" bestFit="1" customWidth="1"/>
  </cols>
  <sheetData>
    <row r="2" spans="2:9" x14ac:dyDescent="0.25">
      <c r="B2" s="27" t="s">
        <v>37</v>
      </c>
      <c r="C2" s="28" t="s">
        <v>38</v>
      </c>
      <c r="E2" s="32" t="s">
        <v>43</v>
      </c>
      <c r="F2" s="31">
        <v>6</v>
      </c>
      <c r="G2" t="s">
        <v>9</v>
      </c>
    </row>
    <row r="3" spans="2:9" x14ac:dyDescent="0.25">
      <c r="B3" s="29">
        <v>0</v>
      </c>
      <c r="C3" s="16"/>
    </row>
    <row r="4" spans="2:9" x14ac:dyDescent="0.25">
      <c r="B4" s="29">
        <v>1</v>
      </c>
      <c r="C4" s="16">
        <v>10</v>
      </c>
      <c r="E4" s="27" t="s">
        <v>39</v>
      </c>
      <c r="F4" s="35" cm="1">
        <f t="array" ref="F4">MacDur(B3:C52, F2/100)</f>
        <v>14.810403069951372</v>
      </c>
    </row>
    <row r="5" spans="2:9" x14ac:dyDescent="0.25">
      <c r="B5" s="29">
        <v>2</v>
      </c>
      <c r="C5" s="16">
        <v>10</v>
      </c>
      <c r="E5" s="33" t="s">
        <v>40</v>
      </c>
      <c r="F5" s="36" cm="1">
        <f t="array" ref="F5">ModDur(B3:C52, F2/100)</f>
        <v>13.972078367878654</v>
      </c>
    </row>
    <row r="6" spans="2:9" x14ac:dyDescent="0.25">
      <c r="B6" s="29">
        <v>3</v>
      </c>
      <c r="C6" s="16">
        <v>10</v>
      </c>
      <c r="E6" s="33" t="s">
        <v>41</v>
      </c>
      <c r="F6" s="36" cm="1">
        <f t="array" ref="F6">MacConvexity(B3:C52, F2/100)</f>
        <v>290.82407764659695</v>
      </c>
    </row>
    <row r="7" spans="2:9" x14ac:dyDescent="0.25">
      <c r="B7" s="29"/>
      <c r="C7" s="16"/>
      <c r="E7" s="34" t="s">
        <v>42</v>
      </c>
      <c r="F7" s="37" cm="1">
        <f t="array" ref="F7">ModConvexity(B3:C52, F2/100)</f>
        <v>272.01359978332886</v>
      </c>
    </row>
    <row r="8" spans="2:9" x14ac:dyDescent="0.25">
      <c r="B8" s="29"/>
      <c r="C8" s="16"/>
    </row>
    <row r="9" spans="2:9" x14ac:dyDescent="0.25">
      <c r="B9" s="29"/>
      <c r="C9" s="16"/>
    </row>
    <row r="10" spans="2:9" ht="15" customHeight="1" x14ac:dyDescent="0.25">
      <c r="B10" s="29"/>
      <c r="C10" s="16"/>
      <c r="E10" s="48" t="s">
        <v>47</v>
      </c>
      <c r="F10" s="48"/>
      <c r="G10" s="48"/>
      <c r="H10" s="48"/>
      <c r="I10" s="48"/>
    </row>
    <row r="11" spans="2:9" x14ac:dyDescent="0.25">
      <c r="B11" s="29"/>
      <c r="C11" s="16"/>
      <c r="E11" s="48"/>
      <c r="F11" s="48"/>
      <c r="G11" s="48"/>
      <c r="H11" s="48"/>
      <c r="I11" s="48"/>
    </row>
    <row r="12" spans="2:9" x14ac:dyDescent="0.25">
      <c r="B12" s="29"/>
      <c r="C12" s="16"/>
      <c r="E12" s="48"/>
      <c r="F12" s="48"/>
      <c r="G12" s="48"/>
      <c r="H12" s="48"/>
      <c r="I12" s="48"/>
    </row>
    <row r="13" spans="2:9" x14ac:dyDescent="0.25">
      <c r="B13" s="29"/>
      <c r="C13" s="16"/>
      <c r="E13" s="48"/>
      <c r="F13" s="48"/>
      <c r="G13" s="48"/>
      <c r="H13" s="48"/>
      <c r="I13" s="48"/>
    </row>
    <row r="14" spans="2:9" x14ac:dyDescent="0.25">
      <c r="B14" s="29"/>
      <c r="C14" s="16"/>
      <c r="E14" s="48"/>
      <c r="F14" s="48"/>
      <c r="G14" s="48"/>
      <c r="H14" s="48"/>
      <c r="I14" s="48"/>
    </row>
    <row r="15" spans="2:9" x14ac:dyDescent="0.25">
      <c r="B15" s="29"/>
      <c r="C15" s="16"/>
      <c r="E15" s="48"/>
      <c r="F15" s="48"/>
      <c r="G15" s="48"/>
      <c r="H15" s="48"/>
      <c r="I15" s="48"/>
    </row>
    <row r="16" spans="2:9" x14ac:dyDescent="0.25">
      <c r="B16" s="29"/>
      <c r="C16" s="16"/>
      <c r="E16" s="48"/>
      <c r="F16" s="48"/>
      <c r="G16" s="48"/>
      <c r="H16" s="48"/>
      <c r="I16" s="48"/>
    </row>
    <row r="17" spans="2:9" x14ac:dyDescent="0.25">
      <c r="B17" s="29"/>
      <c r="C17" s="16"/>
      <c r="E17" s="48"/>
      <c r="F17" s="48"/>
      <c r="G17" s="48"/>
      <c r="H17" s="48"/>
      <c r="I17" s="48"/>
    </row>
    <row r="18" spans="2:9" x14ac:dyDescent="0.25">
      <c r="B18" s="29"/>
      <c r="C18" s="16"/>
      <c r="E18" s="48"/>
      <c r="F18" s="48"/>
      <c r="G18" s="48"/>
      <c r="H18" s="48"/>
      <c r="I18" s="48"/>
    </row>
    <row r="19" spans="2:9" x14ac:dyDescent="0.25">
      <c r="B19" s="29"/>
      <c r="C19" s="16"/>
      <c r="E19" s="48"/>
      <c r="F19" s="48"/>
      <c r="G19" s="48"/>
      <c r="H19" s="48"/>
      <c r="I19" s="48"/>
    </row>
    <row r="20" spans="2:9" x14ac:dyDescent="0.25">
      <c r="B20" s="29"/>
      <c r="C20" s="16"/>
      <c r="E20" s="48"/>
      <c r="F20" s="48"/>
      <c r="G20" s="48"/>
      <c r="H20" s="48"/>
      <c r="I20" s="48"/>
    </row>
    <row r="21" spans="2:9" x14ac:dyDescent="0.25">
      <c r="B21" s="29"/>
      <c r="C21" s="16"/>
      <c r="E21" s="48"/>
      <c r="F21" s="48"/>
      <c r="G21" s="48"/>
      <c r="H21" s="48"/>
      <c r="I21" s="48"/>
    </row>
    <row r="22" spans="2:9" x14ac:dyDescent="0.25">
      <c r="B22" s="29"/>
      <c r="C22" s="16"/>
      <c r="E22" s="48"/>
      <c r="F22" s="48"/>
      <c r="G22" s="48"/>
      <c r="H22" s="48"/>
      <c r="I22" s="48"/>
    </row>
    <row r="23" spans="2:9" x14ac:dyDescent="0.25">
      <c r="B23" s="29"/>
      <c r="C23" s="16"/>
      <c r="E23" s="48"/>
      <c r="F23" s="48"/>
      <c r="G23" s="48"/>
      <c r="H23" s="48"/>
      <c r="I23" s="48"/>
    </row>
    <row r="24" spans="2:9" x14ac:dyDescent="0.25">
      <c r="B24" s="29"/>
      <c r="C24" s="16"/>
      <c r="E24" s="20"/>
      <c r="F24" s="20"/>
      <c r="G24" s="20"/>
      <c r="H24" s="20"/>
      <c r="I24" s="20"/>
    </row>
    <row r="25" spans="2:9" x14ac:dyDescent="0.25">
      <c r="B25" s="29"/>
      <c r="C25" s="16"/>
      <c r="E25" s="20"/>
      <c r="F25" s="20"/>
      <c r="G25" s="20"/>
      <c r="H25" s="20"/>
      <c r="I25" s="20"/>
    </row>
    <row r="26" spans="2:9" x14ac:dyDescent="0.25">
      <c r="B26" s="29"/>
      <c r="C26" s="16"/>
    </row>
    <row r="27" spans="2:9" x14ac:dyDescent="0.25">
      <c r="B27" s="29"/>
      <c r="C27" s="16"/>
    </row>
    <row r="28" spans="2:9" x14ac:dyDescent="0.25">
      <c r="B28" s="29"/>
      <c r="C28" s="16"/>
    </row>
    <row r="29" spans="2:9" x14ac:dyDescent="0.25">
      <c r="B29" s="29"/>
      <c r="C29" s="16"/>
    </row>
    <row r="30" spans="2:9" x14ac:dyDescent="0.25">
      <c r="B30" s="29"/>
      <c r="C30" s="16"/>
    </row>
    <row r="31" spans="2:9" x14ac:dyDescent="0.25">
      <c r="B31" s="29"/>
      <c r="C31" s="16"/>
    </row>
    <row r="32" spans="2:9" x14ac:dyDescent="0.25">
      <c r="B32" s="29"/>
      <c r="C32" s="16"/>
    </row>
    <row r="33" spans="2:3" x14ac:dyDescent="0.25">
      <c r="B33" s="29"/>
      <c r="C33" s="16"/>
    </row>
    <row r="34" spans="2:3" x14ac:dyDescent="0.25">
      <c r="B34" s="29"/>
      <c r="C34" s="16"/>
    </row>
    <row r="35" spans="2:3" x14ac:dyDescent="0.25">
      <c r="B35" s="29"/>
      <c r="C35" s="16"/>
    </row>
    <row r="36" spans="2:3" x14ac:dyDescent="0.25">
      <c r="B36" s="29"/>
      <c r="C36" s="16"/>
    </row>
    <row r="37" spans="2:3" x14ac:dyDescent="0.25">
      <c r="B37" s="29"/>
      <c r="C37" s="16"/>
    </row>
    <row r="38" spans="2:3" x14ac:dyDescent="0.25">
      <c r="B38" s="29"/>
      <c r="C38" s="16"/>
    </row>
    <row r="39" spans="2:3" x14ac:dyDescent="0.25">
      <c r="B39" s="29"/>
      <c r="C39" s="16"/>
    </row>
    <row r="40" spans="2:3" x14ac:dyDescent="0.25">
      <c r="B40" s="29"/>
      <c r="C40" s="16"/>
    </row>
    <row r="41" spans="2:3" x14ac:dyDescent="0.25">
      <c r="B41" s="29"/>
      <c r="C41" s="16"/>
    </row>
    <row r="42" spans="2:3" x14ac:dyDescent="0.25">
      <c r="B42" s="29"/>
      <c r="C42" s="16"/>
    </row>
    <row r="43" spans="2:3" x14ac:dyDescent="0.25">
      <c r="B43" s="29"/>
      <c r="C43" s="16"/>
    </row>
    <row r="44" spans="2:3" x14ac:dyDescent="0.25">
      <c r="B44" s="29"/>
      <c r="C44" s="16"/>
    </row>
    <row r="45" spans="2:3" x14ac:dyDescent="0.25">
      <c r="B45" s="29"/>
      <c r="C45" s="16"/>
    </row>
    <row r="46" spans="2:3" x14ac:dyDescent="0.25">
      <c r="B46" s="29"/>
      <c r="C46" s="16"/>
    </row>
    <row r="47" spans="2:3" x14ac:dyDescent="0.25">
      <c r="B47" s="29"/>
      <c r="C47" s="16"/>
    </row>
    <row r="48" spans="2:3" x14ac:dyDescent="0.25">
      <c r="B48" s="29"/>
      <c r="C48" s="16"/>
    </row>
    <row r="49" spans="2:3" x14ac:dyDescent="0.25">
      <c r="B49" s="29"/>
      <c r="C49" s="16"/>
    </row>
    <row r="50" spans="2:3" x14ac:dyDescent="0.25">
      <c r="B50" s="29"/>
      <c r="C50" s="16"/>
    </row>
    <row r="51" spans="2:3" x14ac:dyDescent="0.25">
      <c r="B51" s="29"/>
      <c r="C51" s="16"/>
    </row>
    <row r="52" spans="2:3" x14ac:dyDescent="0.25">
      <c r="B52" s="30"/>
      <c r="C52" s="26"/>
    </row>
  </sheetData>
  <mergeCells count="1">
    <mergeCell ref="E10:I23"/>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9C048B-3D09-46CF-9DDA-5C41A3E15105}">
  <sheetPr codeName="Sheet2"/>
  <dimension ref="G2:K8"/>
  <sheetViews>
    <sheetView topLeftCell="F1" workbookViewId="0">
      <selection activeCell="J26" sqref="J26"/>
    </sheetView>
  </sheetViews>
  <sheetFormatPr defaultRowHeight="15" x14ac:dyDescent="0.25"/>
  <cols>
    <col min="7" max="7" width="9.7109375" bestFit="1" customWidth="1"/>
    <col min="9" max="9" width="11" bestFit="1" customWidth="1"/>
    <col min="11" max="11" width="9.85546875" bestFit="1" customWidth="1"/>
  </cols>
  <sheetData>
    <row r="2" spans="7:11" x14ac:dyDescent="0.25">
      <c r="G2" s="1" t="s">
        <v>6</v>
      </c>
      <c r="K2" s="1" t="s">
        <v>14</v>
      </c>
    </row>
    <row r="3" spans="7:11" x14ac:dyDescent="0.25">
      <c r="G3" s="38">
        <v>19.999984022876902</v>
      </c>
      <c r="I3" s="9"/>
      <c r="K3" s="44">
        <v>20.000000095966694</v>
      </c>
    </row>
    <row r="4" spans="7:11" x14ac:dyDescent="0.25">
      <c r="G4" s="43">
        <v>9.9999961456836157</v>
      </c>
      <c r="K4" s="8">
        <v>1.0000003730179434</v>
      </c>
    </row>
    <row r="5" spans="7:11" x14ac:dyDescent="0.25">
      <c r="G5" s="8">
        <v>6</v>
      </c>
      <c r="K5" s="5">
        <f>-K6*a_n(K3,K4/100)*(1+K4/100) - K7*Ia_n2(K3, K4/100)*(1+K4/100) - K8*(1+K4/100)^(-K3)</f>
        <v>-1935.4246520806423</v>
      </c>
    </row>
    <row r="6" spans="7:11" x14ac:dyDescent="0.25">
      <c r="G6" s="5">
        <f>-G7*a_n_g(G3,G4/100,G5/100) - G8*(1+G4/100)^(-G3)</f>
        <v>-1308.199089647529</v>
      </c>
      <c r="K6" s="5">
        <v>9.9999999999999964</v>
      </c>
    </row>
    <row r="7" spans="7:11" x14ac:dyDescent="0.25">
      <c r="G7" s="5">
        <v>99.999999999999972</v>
      </c>
      <c r="K7" s="5">
        <v>10</v>
      </c>
    </row>
    <row r="8" spans="7:11" x14ac:dyDescent="0.25">
      <c r="G8" s="6">
        <v>0</v>
      </c>
      <c r="K8" s="6">
        <v>100</v>
      </c>
    </row>
  </sheetData>
  <dataValidations count="1">
    <dataValidation type="list" allowBlank="1" showInputMessage="1" showErrorMessage="1" errorTitle="Invalid type" error="Type must be either END or BGN" sqref="G2 K2" xr:uid="{D45D0790-D6F7-4031-8C5A-A30605B6DBA3}">
      <formula1>"END, BGN"</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28</vt:i4>
      </vt:variant>
    </vt:vector>
  </HeadingPairs>
  <TitlesOfParts>
    <vt:vector size="32" baseType="lpstr">
      <vt:lpstr>Annuities</vt:lpstr>
      <vt:lpstr>Amortization</vt:lpstr>
      <vt:lpstr>Duration &amp; Convexity</vt:lpstr>
      <vt:lpstr>Scratch Works (DO NOT DELETE)</vt:lpstr>
      <vt:lpstr>A_</vt:lpstr>
      <vt:lpstr>A_FV_val</vt:lpstr>
      <vt:lpstr>A_I_val</vt:lpstr>
      <vt:lpstr>A_Mode_val</vt:lpstr>
      <vt:lpstr>A_N_val</vt:lpstr>
      <vt:lpstr>A_P_val</vt:lpstr>
      <vt:lpstr>A_PV_val</vt:lpstr>
      <vt:lpstr>A_Q_val</vt:lpstr>
      <vt:lpstr>FV_val</vt:lpstr>
      <vt:lpstr>G_</vt:lpstr>
      <vt:lpstr>G_FV_val</vt:lpstr>
      <vt:lpstr>G_G_val</vt:lpstr>
      <vt:lpstr>G_I_Val</vt:lpstr>
      <vt:lpstr>G_Mode_val</vt:lpstr>
      <vt:lpstr>G_N_val</vt:lpstr>
      <vt:lpstr>G_PMT1_val</vt:lpstr>
      <vt:lpstr>G_PV_val</vt:lpstr>
      <vt:lpstr>I_val</vt:lpstr>
      <vt:lpstr>L_I_val</vt:lpstr>
      <vt:lpstr>L_L_val</vt:lpstr>
      <vt:lpstr>L_N_val</vt:lpstr>
      <vt:lpstr>L_Pmt_val</vt:lpstr>
      <vt:lpstr>Mode_val</vt:lpstr>
      <vt:lpstr>N_val</vt:lpstr>
      <vt:lpstr>NPmt</vt:lpstr>
      <vt:lpstr>PMT_val</vt:lpstr>
      <vt:lpstr>PV_val</vt:lpstr>
      <vt:lpstr>RemainingBal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apc</dc:creator>
  <cp:lastModifiedBy>Administrator</cp:lastModifiedBy>
  <dcterms:created xsi:type="dcterms:W3CDTF">2025-08-18T05:10:25Z</dcterms:created>
  <dcterms:modified xsi:type="dcterms:W3CDTF">2026-06-19T02:51:58Z</dcterms:modified>
</cp:coreProperties>
</file>